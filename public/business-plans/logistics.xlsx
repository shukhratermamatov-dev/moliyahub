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СФЕРА УСЛУГ, ТРАНСПОРТ И ЛОГИСТИКА</t>
        </is>
      </c>
    </row>
    <row r="2">
      <c r="A2" s="2" t="inlineStr">
        <is>
          <t>Пример: транспортно-логистическая компания / складская логистика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«Сфера услуг, транспорт и логистика».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89" customHeight="1">
      <c r="A2" s="6" t="inlineStr">
        <is>
          <t>ПРИМЕР (иллюстрация, не данные реальной компании): ООО «TezYetkaz Logistics» строит мини-склад класса «А» с холодильной камерой на 1500 паллето-мест рядом с оптовым рынком в Ташкентской области для обслуживания продавцов маркетплейсов и агроэкспортёров. Требуемые инвестиции — 1,8 млрд сум; окупаемость — около 30 месяцев за счёт долгосрочных контрактов с 3 продавцами маркетплейсов на старте.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Сфера услуг, транспорт и логистика</t>
        </is>
      </c>
    </row>
    <row r="2" ht="59" customHeight="1">
      <c r="A2" s="4" t="inlineStr">
        <is>
          <t>•  Узбекистан стремится закрепить роль транзитного логистического хаба Центральной Азии: по данным Минтранса, страна нацелена стать «настоящим транзитным хабом» на маршрутах Китай — Центральная Азия — Европа/Южная Азия и готовит сеть новых логистических хабов (gazeta.uz).</t>
        </is>
      </c>
    </row>
    <row r="3" ht="74" customHeight="1">
      <c r="A3" s="4" t="inlineStr">
        <is>
          <t>•  При этом по данным отраслевого разбора Spot.uz, на середину 2026 года Узбекистан получает лишь около 1-2% от общего китайско-европейского транзита, хотя в 2025 году достиг рекордного показателя в 15,3 млн тонн грузов — потенциал роста большой, но конкуренция за транзитные потоки с Казахстаном высокая (spot.uz).</t>
        </is>
      </c>
    </row>
    <row r="4" ht="74" customHeight="1">
      <c r="A4" s="4" t="inlineStr">
        <is>
          <t>•  Ключевой структурный дефицит рынка — склады: из 27 логистических центров международного уровня (совокупная мощность 27,2 млн тонн) лишь один относится к высшей категории; автоматизированные склады класса «А» закрывают только 10-15% спроса, ощущается явный дефицит холодильных и таможенных складов (spot.uz) — это прямая ниша для нового бизнеса, а не только для крупных игроков.</t>
        </is>
      </c>
    </row>
    <row r="5" ht="59" customHeight="1">
      <c r="A5" s="4" t="inlineStr">
        <is>
          <t>•  Логистическая инфраструктура сильно сконцентрирована в Ташкенте и области — в регионах ощущается нехватка современных складских и грузовых терминалов, что создаёт возможности для регионального игрока при наличии капитала на инфраструктуру.</t>
        </is>
      </c>
    </row>
    <row r="6" ht="59" customHeight="1">
      <c r="A6" s="4" t="inlineStr">
        <is>
          <t>•  Растёт спрос на холодильную логистику для агроэкспорта (плодоовощная продукция, требующая холодной цепи) и на складские услуги для e-commerce и маркетплейсов (Uzum Market и др.) — это два наиболее быстрорастущих сегмента внутри логистики на ближайшие годы.</t>
        </is>
      </c>
    </row>
    <row r="7" ht="74" customHeight="1">
      <c r="A7" s="4" t="inlineStr">
        <is>
          <t>•  Для сравнения: Казахстан располагает более развитой сетью сухих портов и жд-инфраструктурой на маршруте Китай — Европа и исторически перехватывает большую долю транзита; конкурентное преимущество Узбекистана — географическое положение на альтернативных южных маршрутах (через Афганистан/Пакистан/Иран) и более низкая стоимость рабочей силы.</t>
        </is>
      </c>
    </row>
    <row r="8" ht="59" customHeight="1">
      <c r="A8" s="4" t="inlineStr">
        <is>
          <t>•  [Впишите] Конкретный сегмент (грузоперевозки/склад/холодильная логистика/экспедирование), объём спроса и тарифы в вашем регионе — уточняйте у отраслевых ассоциаций и в статистике Минтранса.</t>
        </is>
      </c>
    </row>
    <row r="10">
      <c r="A10" s="5" t="inlineStr">
        <is>
          <t>Конкуренты</t>
        </is>
      </c>
    </row>
    <row r="11" ht="45" customHeight="1">
      <c r="A11" s="4" t="inlineStr">
        <is>
          <t>[Впишите] Список из 3-5 прямых конкурентов, их сильные и слабые стороны, чем вы отличаетесь.</t>
        </is>
      </c>
    </row>
    <row r="12">
      <c r="A12" s="5" t="inlineStr">
        <is>
          <t>Целевая аудитория</t>
        </is>
      </c>
    </row>
    <row r="13" ht="45" customHeight="1">
      <c r="A13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9">
    <mergeCell ref="A5:D5"/>
    <mergeCell ref="A8:D8"/>
    <mergeCell ref="A6:D6"/>
    <mergeCell ref="A4:D4"/>
    <mergeCell ref="A3:D3"/>
    <mergeCell ref="A7:D7"/>
    <mergeCell ref="A2:D2"/>
    <mergeCell ref="A11:D1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74" customHeight="1">
      <c r="A2" s="6" t="inlineStr">
        <is>
          <t>ПРИМЕР (иллюстрация, не данные реальной компании): Цена — за паллето-место в месяц и за обработку заказа, на уровне рыночной с наценкой за холодильную камеру; продвижение — прямые переговоры с продавцами Uzum Market и агроэкспортёрами, участие в логистических ассоциациях, первые клиенты — через личные контакты владельца в отрасли.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74" customHeight="1">
      <c r="A5" s="6" t="inlineStr">
        <is>
          <t>ПРИМЕР (иллюстрация, не данные реальной компании): Цикл: приём груза → размещение на складе (в т.ч. в холодильной камере) → учёт в WMS-системе → комплектация заказа → отгрузка транспортом клиента или партнёра-перевозчика. Требуется регистрация склада временного хранения при работе с таможенными грузами.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Директор, менеджер по продажам, кладовщик-оператор WMS, 3 грузчика, охрана на аутсорсе. Форма — ООО, общий налоговый режим (при значительной выручке).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44" customHeight="1">
      <c r="A13" s="4" t="inlineStr">
        <is>
          <t>Рост цен на топливо и запчасти для техники</t>
        </is>
      </c>
      <c r="C13" s="4" t="inlineStr">
        <is>
          <t>Топливные карты, оптимизация маршрутов, плановое ТО для снижения простоев</t>
        </is>
      </c>
    </row>
    <row r="14" ht="59" customHeight="1">
      <c r="A14" s="4" t="inlineStr">
        <is>
          <t>Простой техники/склада при недозагрузке</t>
        </is>
      </c>
      <c r="C14" s="4" t="inlineStr">
        <is>
          <t>Долгосрочные контракты-якоря с 2-3 крупными клиентами на старте, гибкие тарифы под сезонность</t>
        </is>
      </c>
    </row>
    <row r="15" ht="44" customHeight="1">
      <c r="A15" s="4" t="inlineStr">
        <is>
          <t>Изменение таможенных правил и процедур на границе</t>
        </is>
      </c>
      <c r="C15" s="4" t="inlineStr">
        <is>
          <t>Мониторинг регуляторики, работа с лицензированными таможенными брокерами</t>
        </is>
      </c>
    </row>
    <row r="16" ht="44" customHeight="1">
      <c r="A16" s="4" t="inlineStr">
        <is>
          <t>Низкая пропускная способность пограничных/таможенных пунктов</t>
        </is>
      </c>
      <c r="C16" s="4" t="inlineStr">
        <is>
          <t>Резервные маршруты и пункты пропуска, заблаговременное оформление документов</t>
        </is>
      </c>
    </row>
    <row r="17" ht="44" customHeight="1">
      <c r="A17" s="4" t="inlineStr">
        <is>
          <t>Порча скоропортящегося груза при сбое холодильной цепи</t>
        </is>
      </c>
      <c r="C17" s="4" t="inlineStr">
        <is>
          <t>Резервное электропитание для холодильных камер, страхование груза, мониторинг температуры</t>
        </is>
      </c>
    </row>
    <row r="18" ht="44" customHeight="1">
      <c r="A18" s="4" t="inlineStr">
        <is>
          <t>Дефицит квалифицированных водителей и складского персонала</t>
        </is>
      </c>
      <c r="C18" s="4" t="inlineStr">
        <is>
          <t>Конкурентная оплата труда, обучение на месте, партнёрство с автотранспортными колледжами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Транспорт</t>
        </is>
      </c>
      <c r="B7" s="11" t="n">
        <v>0</v>
      </c>
      <c r="C7" s="14" t="inlineStr">
        <is>
          <t>покупка или лизинг</t>
        </is>
      </c>
    </row>
    <row r="8" ht="21" customHeight="1">
      <c r="A8" s="14" t="inlineStr">
        <is>
          <t>Складское оборудование / стеллажи</t>
        </is>
      </c>
      <c r="B8" s="11" t="n">
        <v>0</v>
      </c>
      <c r="C8" s="14" t="inlineStr"/>
    </row>
    <row r="9" ht="21" customHeight="1">
      <c r="A9" s="14" t="inlineStr">
        <is>
          <t>Холодильное оборудование</t>
        </is>
      </c>
      <c r="B9" s="11" t="n">
        <v>0</v>
      </c>
      <c r="C9" s="14" t="inlineStr">
        <is>
          <t>при работе с агропродукцией</t>
        </is>
      </c>
    </row>
    <row r="10" ht="21" customHeight="1">
      <c r="A10" s="14" t="inlineStr">
        <is>
          <t>Регистрация и лицензии перевозчика</t>
        </is>
      </c>
      <c r="B10" s="11" t="n">
        <v>0</v>
      </c>
      <c r="C10" s="14" t="inlineStr"/>
    </row>
    <row r="11" ht="21" customHeight="1">
      <c r="A11" s="14" t="inlineStr">
        <is>
          <t>IT-система учёта (WMS/TMS)</t>
        </is>
      </c>
      <c r="B11" s="11" t="n">
        <v>0</v>
      </c>
      <c r="C11" s="14" t="inlineStr"/>
    </row>
    <row r="12" ht="21" customHeight="1">
      <c r="A12" s="14" t="inlineStr">
        <is>
          <t>Оборотный капитал на старте</t>
        </is>
      </c>
      <c r="B12" s="11" t="n">
        <v>0</v>
      </c>
      <c r="C12" s="14" t="inlineStr"/>
    </row>
    <row r="13">
      <c r="A13" s="15" t="inlineStr">
        <is>
          <t>Итого: стартовые затраты (единоразово)</t>
        </is>
      </c>
      <c r="B13" s="16">
        <f>SUM(B7:B12)</f>
        <v/>
      </c>
      <c r="C13" s="17" t="n"/>
    </row>
    <row r="14"/>
    <row r="15">
      <c r="A15" s="12" t="inlineStr">
        <is>
          <t>Ежемесячная выручка</t>
        </is>
      </c>
      <c r="B15" s="13" t="n"/>
      <c r="C15" s="13" t="n"/>
    </row>
    <row r="16" ht="21" customHeight="1">
      <c r="A16" s="14" t="inlineStr">
        <is>
          <t>Перевозки по договорам</t>
        </is>
      </c>
      <c r="B16" s="11" t="n">
        <v>0</v>
      </c>
      <c r="C16" s="14" t="inlineStr"/>
    </row>
    <row r="17" ht="21" customHeight="1">
      <c r="A17" s="14" t="inlineStr">
        <is>
          <t>Складское хранение</t>
        </is>
      </c>
      <c r="B17" s="11" t="n">
        <v>0</v>
      </c>
      <c r="C17" s="14" t="inlineStr">
        <is>
          <t>плата за м² / паллето-место</t>
        </is>
      </c>
    </row>
    <row r="18" ht="21" customHeight="1">
      <c r="A18" s="14" t="inlineStr">
        <is>
          <t>Фулфилмент для продавцов маркетплейсов</t>
        </is>
      </c>
      <c r="B18" s="11" t="n">
        <v>0</v>
      </c>
      <c r="C18" s="14" t="inlineStr">
        <is>
          <t>приём, хранение, комплектация, отгрузка заказов</t>
        </is>
      </c>
    </row>
    <row r="19" ht="21" customHeight="1">
      <c r="A19" s="14" t="inlineStr">
        <is>
          <t>Экспедирование и таможенное оформление</t>
        </is>
      </c>
      <c r="B19" s="11" t="n">
        <v>0</v>
      </c>
      <c r="C19" s="14" t="inlineStr"/>
    </row>
    <row r="20">
      <c r="A20" s="15" t="inlineStr">
        <is>
          <t>Итого: ежемесячная выручка</t>
        </is>
      </c>
      <c r="B20" s="16">
        <f>SUM(B16:B19)</f>
        <v/>
      </c>
      <c r="C20" s="17" t="n"/>
    </row>
    <row r="21"/>
    <row r="22">
      <c r="A22" s="12" t="inlineStr">
        <is>
          <t>Ежемесячные операционные расходы</t>
        </is>
      </c>
      <c r="B22" s="13" t="n"/>
      <c r="C22" s="13" t="n"/>
    </row>
    <row r="23" ht="21" customHeight="1">
      <c r="A23" s="14" t="inlineStr">
        <is>
          <t>ГСМ</t>
        </is>
      </c>
      <c r="B23" s="11" t="n">
        <v>0</v>
      </c>
      <c r="C23" s="14" t="inlineStr"/>
    </row>
    <row r="24" ht="21" customHeight="1">
      <c r="A24" s="14" t="inlineStr">
        <is>
          <t>ФОТ водителей / складского персонала</t>
        </is>
      </c>
      <c r="B24" s="11" t="n">
        <v>0</v>
      </c>
      <c r="C24" s="14" t="inlineStr"/>
    </row>
    <row r="25" ht="21" customHeight="1">
      <c r="A25" s="14" t="inlineStr">
        <is>
          <t>Лизинговые платежи</t>
        </is>
      </c>
      <c r="B25" s="11" t="n">
        <v>0</v>
      </c>
      <c r="C25" s="14" t="inlineStr"/>
    </row>
    <row r="26" ht="21" customHeight="1">
      <c r="A26" s="14" t="inlineStr">
        <is>
          <t>Обслуживание техники</t>
        </is>
      </c>
      <c r="B26" s="11" t="n">
        <v>0</v>
      </c>
      <c r="C26" s="14" t="inlineStr"/>
    </row>
    <row r="27" ht="21" customHeight="1">
      <c r="A27" s="14" t="inlineStr">
        <is>
          <t>Аренда склада / земли</t>
        </is>
      </c>
      <c r="B27" s="11" t="n">
        <v>0</v>
      </c>
      <c r="C27" s="14" t="inlineStr"/>
    </row>
    <row r="28" ht="21" customHeight="1">
      <c r="A28" s="14" t="inlineStr">
        <is>
          <t>Электроэнергия (в т.ч. холодильные камеры)</t>
        </is>
      </c>
      <c r="B28" s="11" t="n">
        <v>0</v>
      </c>
      <c r="C28" s="14" t="inlineStr"/>
    </row>
    <row r="29" ht="21" customHeight="1">
      <c r="A29" s="14" t="inlineStr">
        <is>
          <t>Страхование груза и транспорта</t>
        </is>
      </c>
      <c r="B29" s="11" t="n">
        <v>0</v>
      </c>
      <c r="C29" s="14" t="inlineStr"/>
    </row>
    <row r="30">
      <c r="A30" s="15" t="inlineStr">
        <is>
          <t>Итого: ежемесячные операционные расходы</t>
        </is>
      </c>
      <c r="B30" s="16">
        <f>SUM(B23:B29)</f>
        <v/>
      </c>
      <c r="C30" s="17" t="n"/>
    </row>
    <row r="31"/>
    <row r="32">
      <c r="A32" s="10" t="inlineStr">
        <is>
          <t>Ежемесячная прибыль</t>
        </is>
      </c>
      <c r="B32" s="11">
        <f>B20-B30</f>
        <v/>
      </c>
    </row>
    <row r="33"/>
    <row r="34">
      <c r="A34" s="10" t="inlineStr">
        <is>
          <t>Срок выхода на окупаемость, мес.</t>
        </is>
      </c>
      <c r="B34" s="14">
        <f>IFERROR(B4/B32,"—")</f>
        <v/>
      </c>
      <c r="C34" s="14">
        <f> Начальные инвестиции / Ежемесячная прибыль</f>
        <v/>
      </c>
    </row>
    <row r="35">
      <c r="A35" s="10" t="inlineStr">
        <is>
          <t>Рентабельность продаж, %</t>
        </is>
      </c>
      <c r="B35" s="18">
        <f>IFERROR(B32/B20*100,"—")</f>
        <v/>
      </c>
      <c r="C35" s="14">
        <f> Ежемесячная прибыль / Выручка × 100%</f>
        <v/>
      </c>
    </row>
    <row r="36"/>
    <row r="37" ht="40" customHeight="1">
      <c r="A37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37:C37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2026-09-10T09:41:08Z</dcterms:created>
  <dcterms:modified xmlns:dcterms="http://purl.org/dc/terms/" xmlns:xsi="http://www.w3.org/2001/XMLSchema-instance" xsi:type="dcterms:W3CDTF">2026-09-10T09:41:08Z</dcterms:modified>
</cp:coreProperties>
</file>