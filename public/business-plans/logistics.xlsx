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СФЕРА УСЛУГ, ТРАНСПОРТ И ЛОГИСТИКА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«Сфера услуг, транспорт и логистика»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B16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51" customHeight="1">
      <c r="A10" s="9" t="inlineStr">
        <is>
          <t>Транспорт</t>
        </is>
      </c>
      <c r="B10" s="6" t="n">
        <v>300000000</v>
      </c>
      <c r="C10" s="9" t="inlineStr">
        <is>
          <t>покупка или лизинг — Пример: оценка: б/у вилочный погрузчик (~150-180 млн) + грузопассажирский фургон для фулфилмента (~140-150 млн)</t>
        </is>
      </c>
    </row>
    <row r="11" ht="36" customHeight="1">
      <c r="A11" s="9" t="inlineStr">
        <is>
          <t>Складское оборудование / стеллажи</t>
        </is>
      </c>
      <c r="B11" s="6" t="n">
        <v>550000000</v>
      </c>
      <c r="C11" s="9" t="inlineStr">
        <is>
          <t>Пример: оценка: паллетные стеллажи под 1500 паллето-мест, ~350-400 тыс. сум/паллетоместо с монтажом</t>
        </is>
      </c>
    </row>
    <row r="12" ht="51" customHeight="1">
      <c r="A12" s="9" t="inlineStr">
        <is>
          <t>Холодильное оборудование</t>
        </is>
      </c>
      <c r="B12" s="6" t="n">
        <v>350000000</v>
      </c>
      <c r="C12" s="9" t="inlineStr">
        <is>
          <t>при работе с агропродукцией — Пример: оценка: холодильная камера (сэндвич-панели + моноблок) на часть склада под скоропортящиеся товары</t>
        </is>
      </c>
    </row>
    <row r="13" ht="36" customHeight="1">
      <c r="A13" s="9" t="inlineStr">
        <is>
          <t>Регистрация и лицензии перевозчика</t>
        </is>
      </c>
      <c r="B13" s="6" t="n">
        <v>15000000</v>
      </c>
      <c r="C13" s="9" t="inlineStr">
        <is>
          <t>Пример: оценка: регистрация ООО, лицензия перевозчика, сертификаты/допуски</t>
        </is>
      </c>
    </row>
    <row r="14" ht="36" customHeight="1">
      <c r="A14" s="9" t="inlineStr">
        <is>
          <t>IT-система учёта (WMS/TMS)</t>
        </is>
      </c>
      <c r="B14" s="6" t="n">
        <v>60000000</v>
      </c>
      <c r="C14" s="9" t="inlineStr">
        <is>
          <t>Пример: оценка: внедрение складской/транспортной системы учёта, включая первый год подписки</t>
        </is>
      </c>
    </row>
    <row r="15" ht="36" customHeight="1">
      <c r="A15" s="9" t="inlineStr">
        <is>
          <t>Оборотный капитал на старте</t>
        </is>
      </c>
      <c r="B15" s="6" t="n">
        <v>525000000</v>
      </c>
      <c r="C15" s="9" t="inlineStr">
        <is>
          <t>Пример: расчёт: ~3 месяца операционных расходов на период выхода на плановую загрузку</t>
        </is>
      </c>
    </row>
    <row r="16">
      <c r="A16" s="10" t="inlineStr">
        <is>
          <t>Итого: стартовые затраты (единоразово)</t>
        </is>
      </c>
      <c r="B16" s="11">
        <f>SUM(B10:B15)</f>
        <v/>
      </c>
      <c r="C16" s="12" t="n"/>
    </row>
    <row r="17"/>
    <row r="18">
      <c r="A18" s="7" t="inlineStr">
        <is>
          <t>Ежемесячная выручка</t>
        </is>
      </c>
      <c r="B18" s="8" t="n"/>
      <c r="C18" s="8" t="n"/>
    </row>
    <row r="19" ht="36" customHeight="1">
      <c r="A19" s="9" t="inlineStr">
        <is>
          <t>Перевозки по договорам</t>
        </is>
      </c>
      <c r="B19" s="6" t="n">
        <v>90000000</v>
      </c>
      <c r="C19" s="9" t="inlineStr">
        <is>
          <t>Пример: оценка выручки по контрактам на перевозку для оптовых клиентов рынка</t>
        </is>
      </c>
    </row>
    <row r="20" ht="36" customHeight="1">
      <c r="A20" s="9" t="inlineStr">
        <is>
          <t>Складское хранение</t>
        </is>
      </c>
      <c r="B20" s="6" t="n">
        <v>40000000</v>
      </c>
      <c r="C20" s="9" t="inlineStr">
        <is>
          <t>плата за м² / паллето-место — Пример: расчёт: ~1050 занятых паллето-мест (70% загрузки) × ~35 тыс. сум/паллетоместо/мес.</t>
        </is>
      </c>
    </row>
    <row r="21" ht="51" customHeight="1">
      <c r="A21" s="9" t="inlineStr">
        <is>
          <t>Фулфилмент для продавцов маркетплейсов</t>
        </is>
      </c>
      <c r="B21" s="6" t="n">
        <v>70000000</v>
      </c>
      <c r="C21" s="9" t="inlineStr">
        <is>
          <t>приём, хранение, комплектация, отгрузка заказов — Пример: оценка: быстрорастущий сегмент на фоне роста продавцов Uzum Market</t>
        </is>
      </c>
    </row>
    <row r="22" ht="36" customHeight="1">
      <c r="A22" s="9" t="inlineStr">
        <is>
          <t>Экспедирование и таможенное оформление</t>
        </is>
      </c>
      <c r="B22" s="6" t="n">
        <v>35000000</v>
      </c>
      <c r="C22" s="9" t="inlineStr">
        <is>
          <t>Пример: оценка сопутствующей выручки от таможенного оформления и экспедирования</t>
        </is>
      </c>
    </row>
    <row r="23">
      <c r="A23" s="10" t="inlineStr">
        <is>
          <t>Итого: ежемесячная выручка</t>
        </is>
      </c>
      <c r="B23" s="11">
        <f>SUM(B19:B22)</f>
        <v/>
      </c>
      <c r="C23" s="12" t="n"/>
    </row>
    <row r="24"/>
    <row r="25">
      <c r="A25" s="7" t="inlineStr">
        <is>
          <t>Ежемесячные операционные расходы</t>
        </is>
      </c>
      <c r="B25" s="8" t="n"/>
      <c r="C25" s="8" t="n"/>
    </row>
    <row r="26" ht="36" customHeight="1">
      <c r="A26" s="9" t="inlineStr">
        <is>
          <t>ГСМ</t>
        </is>
      </c>
      <c r="B26" s="6" t="n">
        <v>30000000</v>
      </c>
      <c r="C26" s="9" t="inlineStr">
        <is>
          <t>Пример: расчёт: ~2000 л дизтоплива/мес × ~15 000 сум/л (розничная цена в Ташкенте, сент. 2026)</t>
        </is>
      </c>
    </row>
    <row r="27" ht="51" customHeight="1">
      <c r="A27" s="9" t="inlineStr">
        <is>
          <t>ФОТ водителей / складского персонала</t>
        </is>
      </c>
      <c r="B27" s="6" t="n">
        <v>65000000</v>
      </c>
      <c r="C27" s="9" t="inlineStr">
        <is>
          <t>Пример: менеджер по продажам, кладовщик-WMS, 3 грузчика, 2 водителя, охрана на аутсорсе — ориентир выше МРОТ (1 360 000 сум с 01.09.2026, Norma.uz)</t>
        </is>
      </c>
    </row>
    <row r="28" ht="36" customHeight="1">
      <c r="A28" s="9" t="inlineStr">
        <is>
          <t>Лизинговые платежи</t>
        </is>
      </c>
      <c r="B28" s="6" t="n">
        <v>25000000</v>
      </c>
      <c r="C28" s="9" t="inlineStr">
        <is>
          <t>Пример: оценка: лизинг рефрижераторного грузовика исходя из стоимости техники ~500-600 млн на 3-4 года</t>
        </is>
      </c>
    </row>
    <row r="29" ht="36" customHeight="1">
      <c r="A29" s="9" t="inlineStr">
        <is>
          <t>Обслуживание техники</t>
        </is>
      </c>
      <c r="B29" s="6" t="n">
        <v>8000000</v>
      </c>
      <c r="C29" s="9" t="inlineStr">
        <is>
          <t>Пример: оценка: плановое ТО, шины, ремонт погрузчика и автопарка</t>
        </is>
      </c>
    </row>
    <row r="30" ht="36" customHeight="1">
      <c r="A30" s="9" t="inlineStr">
        <is>
          <t>Аренда склада / земли</t>
        </is>
      </c>
      <c r="B30" s="6" t="n">
        <v>25000000</v>
      </c>
      <c r="C30" s="9" t="inlineStr">
        <is>
          <t>Пример: оценка аренды земли под мини-склад (~2000-3000 м²) в промзоне Ташкентской обл.</t>
        </is>
      </c>
    </row>
    <row r="31" ht="36" customHeight="1">
      <c r="A31" s="9" t="inlineStr">
        <is>
          <t>Электроэнергия (в т.ч. холодильные камеры)</t>
        </is>
      </c>
      <c r="B31" s="6" t="n">
        <v>15000000</v>
      </c>
      <c r="C31" s="9" t="inlineStr">
        <is>
          <t>Пример: оценка энергопотребления холодильной камеры и складского оборудования</t>
        </is>
      </c>
    </row>
    <row r="32" ht="36" customHeight="1">
      <c r="A32" s="9" t="inlineStr">
        <is>
          <t>Страхование груза и транспорта</t>
        </is>
      </c>
      <c r="B32" s="6" t="n">
        <v>5000000</v>
      </c>
      <c r="C32" s="9" t="inlineStr">
        <is>
          <t>Пример: оценка страховых премий (КАСКО/ОСАГО на автопарк + страхование грузов)</t>
        </is>
      </c>
    </row>
    <row r="33">
      <c r="A33" s="10" t="inlineStr">
        <is>
          <t>Итого: ежемесячные операционные расходы</t>
        </is>
      </c>
      <c r="B33" s="11">
        <f>SUM(B26:B32)</f>
        <v/>
      </c>
      <c r="C33" s="12" t="n"/>
    </row>
    <row r="34"/>
    <row r="35">
      <c r="A35" s="5" t="inlineStr">
        <is>
          <t>Ежемесячная прибыль</t>
        </is>
      </c>
      <c r="B35" s="6">
        <f>B23-B33</f>
        <v/>
      </c>
    </row>
    <row r="36"/>
    <row r="37">
      <c r="A37" s="5" t="inlineStr">
        <is>
          <t>Срок выхода на окупаемость, мес.</t>
        </is>
      </c>
      <c r="B37" s="9">
        <f>IFERROR(B7/B35,"—")</f>
        <v/>
      </c>
      <c r="C37" s="9" t="inlineStr">
        <is>
          <t>Формула: Начальные инвестиции ÷ Ежемесячная прибыль</t>
        </is>
      </c>
    </row>
    <row r="38">
      <c r="A38" s="5" t="inlineStr">
        <is>
          <t>Рентабельность продаж, %</t>
        </is>
      </c>
      <c r="B38" s="13">
        <f>IFERROR(B35/B23*100,"—")</f>
        <v/>
      </c>
      <c r="C38" s="9" t="inlineStr">
        <is>
          <t>Формула: Ежемесячная прибыль ÷ Выручка × 100%</t>
        </is>
      </c>
    </row>
    <row r="39"/>
    <row r="40" ht="50" customHeight="1">
      <c r="A40" s="14" t="inlineStr">
        <is>
          <t>Как считался этот пример: Сумма стартовых статей точно совпадает с заявленными 1,8 млрд сум. При прибыли ≈62 млн сум/мес окупаемость ≈29 мес. — близко к заявленным ~30 мес.</t>
        </is>
      </c>
    </row>
    <row r="41"/>
    <row r="42" ht="55" customHeight="1">
      <c r="A42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42:C42"/>
    <mergeCell ref="A2:C2"/>
    <mergeCell ref="A40:C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