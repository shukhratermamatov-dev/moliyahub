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8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СФЕРА УСЛУГ (ТРАНСПОРТ, ЛОГИСТИКА)</t>
        </is>
      </c>
    </row>
    <row r="2">
      <c r="A2" s="2" t="inlineStr">
        <is>
          <t>Пример: транспортно-логистическая компания / складская логистика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70" customHeight="1">
      <c r="A10" s="4" t="inlineStr">
        <is>
          <t>Это готовый образец (шаблон) бизнес-плана MoliyaHub для отрасли «Сфера услуг (транспорт, логистика)». Замените текст в квадратных скобках [впишите] и примеры на данные вашего проекта, добавьте или удалите строки в таблицах по необходимости.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90" customHeight="1">
      <c r="A2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4">
      <c r="A4" s="5" t="inlineStr">
        <is>
          <t>Описание компании / проекта</t>
        </is>
      </c>
    </row>
    <row r="5" ht="70" customHeight="1">
      <c r="A5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Сфера услуг (транспорт, логистика)</t>
        </is>
      </c>
    </row>
    <row r="2" ht="45" customHeight="1">
      <c r="A2" s="4" t="inlineStr">
        <is>
          <t>•  Узбекистан развивает роль транзитного логистического хаба Центральной Азии — растут грузопотоки по коридорам Китай — Центральная Азия — Европа.</t>
        </is>
      </c>
    </row>
    <row r="3" ht="45" customHeight="1">
      <c r="A3" s="4" t="inlineStr">
        <is>
          <t>•  Растёт спрос на холодильную логистику для агроэкспорта и складские услуги для e-commerce и маркетплейсов.</t>
        </is>
      </c>
    </row>
    <row r="4" ht="45" customHeight="1">
      <c r="A4" s="4" t="inlineStr">
        <is>
          <t>•  Государство инвестирует в модернизацию транспортной инфраструктуры (железные дороги, логистические центры).</t>
        </is>
      </c>
    </row>
    <row r="5" ht="45" customHeight="1">
      <c r="A5" s="4" t="inlineStr">
        <is>
          <t>•  [Впишите] Конкретный сегмент (грузоперевозки/склад/холодильная логистика), объём спроса и тарифы в вашем регионе.</t>
        </is>
      </c>
    </row>
    <row r="7">
      <c r="A7" s="5" t="inlineStr">
        <is>
          <t>Конкуренты</t>
        </is>
      </c>
    </row>
    <row r="8" ht="45" customHeight="1">
      <c r="A8" s="4" t="inlineStr">
        <is>
          <t>[Впишите] Список из 3-5 прямых конкурентов, их сильные и слабые стороны, чем вы отличаетесь.</t>
        </is>
      </c>
    </row>
    <row r="9">
      <c r="A9" s="5" t="inlineStr">
        <is>
          <t>Целевая аудитория</t>
        </is>
      </c>
    </row>
    <row r="10" ht="45" customHeight="1">
      <c r="A10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6">
    <mergeCell ref="A5:D5"/>
    <mergeCell ref="A8:D8"/>
    <mergeCell ref="A4:D4"/>
    <mergeCell ref="A3:D3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45" customHeight="1">
      <c r="A2" s="4" t="inlineStr">
        <is>
          <t>[Впишите] Ценообразование, каналы продвижения и продаж, план привлечения первых клиентов.</t>
        </is>
      </c>
    </row>
    <row r="3">
      <c r="A3" s="5" t="inlineStr">
        <is>
          <t>Операционный план</t>
        </is>
      </c>
    </row>
    <row r="4" ht="45" customHeight="1">
      <c r="A4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5">
      <c r="A5" s="5" t="inlineStr">
        <is>
          <t>Организационный план</t>
        </is>
      </c>
    </row>
    <row r="6" ht="45" customHeight="1">
      <c r="A6" s="4" t="inlineStr">
        <is>
          <t>[Впишите] Команда и роли, штатное расписание, организационно-правовая форма.</t>
        </is>
      </c>
    </row>
    <row r="7">
      <c r="A7" s="5" t="inlineStr">
        <is>
          <t>Риски и меры по их снижению (примеры для отрасли)</t>
        </is>
      </c>
    </row>
    <row r="9">
      <c r="A9" s="6" t="inlineStr">
        <is>
          <t>Риск</t>
        </is>
      </c>
      <c r="C9" s="6" t="inlineStr">
        <is>
          <t>Меры снижения</t>
        </is>
      </c>
    </row>
    <row r="10" ht="30" customHeight="1">
      <c r="A10" s="4" t="inlineStr">
        <is>
          <t>Рост цен на топливо</t>
        </is>
      </c>
      <c r="C10" s="4" t="inlineStr">
        <is>
          <t>Топливные карты, оптимизация маршрутов</t>
        </is>
      </c>
    </row>
    <row r="11" ht="30" customHeight="1">
      <c r="A11" s="4" t="inlineStr">
        <is>
          <t>Простой техники</t>
        </is>
      </c>
      <c r="C11" s="4" t="inlineStr">
        <is>
          <t>Плановое ТО, резервный транспорт</t>
        </is>
      </c>
    </row>
    <row r="12" ht="30" customHeight="1">
      <c r="A12" s="4" t="inlineStr">
        <is>
          <t>Изменение таможенных правил</t>
        </is>
      </c>
      <c r="C12" s="4" t="inlineStr">
        <is>
          <t>Мониторинг регуляторики, работа с таможенными брокерами</t>
        </is>
      </c>
    </row>
    <row r="14" ht="30" customHeight="1">
      <c r="A14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12">
    <mergeCell ref="C12:D12"/>
    <mergeCell ref="C10:D10"/>
    <mergeCell ref="A6:D6"/>
    <mergeCell ref="A4:D4"/>
    <mergeCell ref="A11:B11"/>
    <mergeCell ref="C11:D11"/>
    <mergeCell ref="A10:B10"/>
    <mergeCell ref="A2:D2"/>
    <mergeCell ref="C9:D9"/>
    <mergeCell ref="A9:B9"/>
    <mergeCell ref="A14:D14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</cols>
  <sheetData>
    <row r="1">
      <c r="A1" s="7" t="inlineStr">
        <is>
          <t>Статья</t>
        </is>
      </c>
      <c r="B1" s="7" t="inlineStr">
        <is>
          <t>Сумма, сум</t>
        </is>
      </c>
      <c r="C1" s="7" t="inlineStr">
        <is>
          <t>Комментарий</t>
        </is>
      </c>
    </row>
    <row r="2" ht="30" customHeight="1">
      <c r="A2" s="8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Добавляйте свои строки при необходимости.</t>
        </is>
      </c>
    </row>
    <row r="3"/>
    <row r="4">
      <c r="A4" s="9" t="inlineStr">
        <is>
          <t>Начальные инвестиции (требуемая сумма)</t>
        </is>
      </c>
      <c r="B4" s="10" t="n">
        <v>0</v>
      </c>
    </row>
    <row r="5"/>
    <row r="6">
      <c r="A6" s="11" t="inlineStr">
        <is>
          <t>Стартовые затраты (единоразово)</t>
        </is>
      </c>
      <c r="B6" s="12" t="n"/>
      <c r="C6" s="12" t="n"/>
    </row>
    <row r="7">
      <c r="A7" s="13" t="inlineStr">
        <is>
          <t>Транспорт</t>
        </is>
      </c>
      <c r="B7" s="10" t="n">
        <v>0</v>
      </c>
      <c r="C7" s="13" t="inlineStr">
        <is>
          <t>покупка или лизинг</t>
        </is>
      </c>
    </row>
    <row r="8">
      <c r="A8" s="13" t="inlineStr">
        <is>
          <t>Складское оборудование / стеллажи</t>
        </is>
      </c>
      <c r="B8" s="10" t="n">
        <v>0</v>
      </c>
      <c r="C8" s="13" t="inlineStr"/>
    </row>
    <row r="9">
      <c r="A9" s="13" t="inlineStr">
        <is>
          <t>Регистрация и лицензии перевозчика</t>
        </is>
      </c>
      <c r="B9" s="10" t="n">
        <v>0</v>
      </c>
      <c r="C9" s="13" t="inlineStr"/>
    </row>
    <row r="10">
      <c r="A10" s="13" t="inlineStr">
        <is>
          <t>IT-система учёта (WMS/TMS)</t>
        </is>
      </c>
      <c r="B10" s="10" t="n">
        <v>0</v>
      </c>
      <c r="C10" s="13" t="inlineStr"/>
    </row>
    <row r="11">
      <c r="A11" s="13" t="inlineStr">
        <is>
          <t>Оборотный капитал на старте</t>
        </is>
      </c>
      <c r="B11" s="10" t="n">
        <v>0</v>
      </c>
      <c r="C11" s="13" t="inlineStr"/>
    </row>
    <row r="12">
      <c r="A12" s="14" t="inlineStr">
        <is>
          <t>Итого: стартовые затраты (единоразово)</t>
        </is>
      </c>
      <c r="B12" s="15">
        <f>SUM(B7:B11)</f>
        <v/>
      </c>
      <c r="C12" s="16" t="n"/>
    </row>
    <row r="13"/>
    <row r="14">
      <c r="A14" s="11" t="inlineStr">
        <is>
          <t>Ежемесячная выручка</t>
        </is>
      </c>
      <c r="B14" s="12" t="n"/>
      <c r="C14" s="12" t="n"/>
    </row>
    <row r="15">
      <c r="A15" s="13" t="inlineStr">
        <is>
          <t>Перевозки по договорам</t>
        </is>
      </c>
      <c r="B15" s="10" t="n">
        <v>0</v>
      </c>
      <c r="C15" s="13" t="inlineStr"/>
    </row>
    <row r="16">
      <c r="A16" s="13" t="inlineStr">
        <is>
          <t>Складское хранение</t>
        </is>
      </c>
      <c r="B16" s="10" t="n">
        <v>0</v>
      </c>
      <c r="C16" s="13" t="inlineStr">
        <is>
          <t>плата за м² / паллето-место</t>
        </is>
      </c>
    </row>
    <row r="17">
      <c r="A17" s="13" t="inlineStr">
        <is>
          <t>Экспедирование и таможенное оформление</t>
        </is>
      </c>
      <c r="B17" s="10" t="n">
        <v>0</v>
      </c>
      <c r="C17" s="13" t="inlineStr"/>
    </row>
    <row r="18">
      <c r="A18" s="14" t="inlineStr">
        <is>
          <t>Итого: ежемесячная выручка</t>
        </is>
      </c>
      <c r="B18" s="15">
        <f>SUM(B15:B17)</f>
        <v/>
      </c>
      <c r="C18" s="16" t="n"/>
    </row>
    <row r="19"/>
    <row r="20">
      <c r="A20" s="11" t="inlineStr">
        <is>
          <t>Ежемесячные операционные расходы</t>
        </is>
      </c>
      <c r="B20" s="12" t="n"/>
      <c r="C20" s="12" t="n"/>
    </row>
    <row r="21">
      <c r="A21" s="13" t="inlineStr">
        <is>
          <t>ГСМ</t>
        </is>
      </c>
      <c r="B21" s="10" t="n">
        <v>0</v>
      </c>
      <c r="C21" s="13" t="inlineStr"/>
    </row>
    <row r="22">
      <c r="A22" s="13" t="inlineStr">
        <is>
          <t>ФОТ водителей / складского персонала</t>
        </is>
      </c>
      <c r="B22" s="10" t="n">
        <v>0</v>
      </c>
      <c r="C22" s="13" t="inlineStr"/>
    </row>
    <row r="23">
      <c r="A23" s="13" t="inlineStr">
        <is>
          <t>Лизинговые платежи</t>
        </is>
      </c>
      <c r="B23" s="10" t="n">
        <v>0</v>
      </c>
      <c r="C23" s="13" t="inlineStr"/>
    </row>
    <row r="24">
      <c r="A24" s="13" t="inlineStr">
        <is>
          <t>Обслуживание техники</t>
        </is>
      </c>
      <c r="B24" s="10" t="n">
        <v>0</v>
      </c>
      <c r="C24" s="13" t="inlineStr"/>
    </row>
    <row r="25">
      <c r="A25" s="13" t="inlineStr">
        <is>
          <t>Аренда склада</t>
        </is>
      </c>
      <c r="B25" s="10" t="n">
        <v>0</v>
      </c>
      <c r="C25" s="13" t="inlineStr"/>
    </row>
    <row r="26">
      <c r="A26" s="13" t="inlineStr">
        <is>
          <t>Страхование груза</t>
        </is>
      </c>
      <c r="B26" s="10" t="n">
        <v>0</v>
      </c>
      <c r="C26" s="13" t="inlineStr"/>
    </row>
    <row r="27">
      <c r="A27" s="14" t="inlineStr">
        <is>
          <t>Итого: ежемесячные операционные расходы</t>
        </is>
      </c>
      <c r="B27" s="15">
        <f>SUM(B21:B26)</f>
        <v/>
      </c>
      <c r="C27" s="16" t="n"/>
    </row>
    <row r="28"/>
    <row r="29">
      <c r="A29" s="9" t="inlineStr">
        <is>
          <t>Ежемесячная прибыль</t>
        </is>
      </c>
      <c r="B29" s="10">
        <f>B18-B27</f>
        <v/>
      </c>
    </row>
    <row r="30"/>
    <row r="31">
      <c r="A31" s="9" t="inlineStr">
        <is>
          <t>Срок выхода на окупаемость, мес.</t>
        </is>
      </c>
      <c r="B31" s="13">
        <f>IFERROR(B4/B29,"—")</f>
        <v/>
      </c>
      <c r="C31" s="13">
        <f> Начальные инвестиции / Ежемесячная прибыль</f>
        <v/>
      </c>
    </row>
    <row r="32">
      <c r="A32" s="9" t="inlineStr">
        <is>
          <t>Рентабельность продаж, %</t>
        </is>
      </c>
      <c r="B32" s="17">
        <f>IFERROR(B29/B18*100,"—")</f>
        <v/>
      </c>
      <c r="C32" s="13">
        <f> Ежемесячная прибыль / Выручка × 100%</f>
        <v/>
      </c>
    </row>
    <row r="33"/>
    <row r="34" ht="30" customHeight="1">
      <c r="A34" s="8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</t>
        </is>
      </c>
    </row>
  </sheetData>
  <mergeCells count="2">
    <mergeCell ref="A2:C2"/>
    <mergeCell ref="A34:C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2026-09-07T09:12:48Z</dcterms:created>
  <dcterms:modified xmlns:dcterms="http://purl.org/dc/terms/" xmlns:xsi="http://www.w3.org/2001/XMLSchema-instance" xsi:type="dcterms:W3CDTF">2026-09-07T09:12:48Z</dcterms:modified>
</cp:coreProperties>
</file>