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Финансовый пла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4532D"/>
      <sz val="18"/>
    </font>
    <font>
      <i val="1"/>
      <color rgb="0064748B"/>
      <sz val="12"/>
    </font>
    <font>
      <b val="1"/>
      <color rgb="00FFFFFF"/>
      <sz val="12"/>
    </font>
    <font>
      <i val="1"/>
      <color rgb="0064748B"/>
    </font>
    <font>
      <b val="1"/>
    </font>
    <font>
      <b val="1"/>
      <i val="1"/>
    </font>
    <font>
      <i val="1"/>
      <color rgb="001D4ED8"/>
    </font>
  </fonts>
  <fills count="5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E2E8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3" fontId="0" fillId="0" borderId="1" pivotButton="0" quotePrefix="0" xfId="0"/>
    <xf numFmtId="0" fontId="5" fillId="3" borderId="1" pivotButton="0" quotePrefix="0" xfId="0"/>
    <xf numFmtId="0" fontId="0" fillId="3" borderId="0" pivotButton="0" quotePrefix="0" xfId="0"/>
    <xf numFmtId="0" fontId="0" fillId="0" borderId="1" pivotButton="0" quotePrefix="0" xfId="0"/>
    <xf numFmtId="0" fontId="6" fillId="4" borderId="1" pivotButton="0" quotePrefix="0" xfId="0"/>
    <xf numFmtId="3" fontId="0" fillId="4" borderId="1" pivotButton="0" quotePrefix="0" xfId="0"/>
    <xf numFmtId="0" fontId="0" fillId="4" borderId="0" pivotButton="0" quotePrefix="0" xfId="0"/>
    <xf numFmtId="164" fontId="0" fillId="0" borderId="1" pivotButton="0" quotePrefix="0" xfId="0"/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55" customWidth="1" min="3" max="3"/>
  </cols>
  <sheetData>
    <row r="1">
      <c r="A1" s="1" t="inlineStr">
        <is>
          <t>ФИНАНСОВЫЙ ПЛАН: ИНФОРМАЦИОННЫЕ ТЕХНОЛОГИИ И СВЯЗЬ (IT) — ПРИМЕР РАСЧЁТА</t>
        </is>
      </c>
    </row>
    <row r="2" ht="65" customHeight="1">
      <c r="A2" s="2" t="inlineStr">
        <is>
          <t>Этот файл дополняет текстовый документ бизнес-плана MoliyaHub для отрасли «Информационные технологии и связь (IT)» (резюме, анализ рынка, маркетинговый/операционный/организационный план, риски — в Word-файле с тем же названием). Здесь — расчётная часть с рабочими формулами, уже заполненная цифрами ПРИМЕРА (иллюстративная компания из резюме бизнес-плана, не реальный заёмщик) — чтобы показать порядок величины и логику расчёта. Перед подачей в банк или инвестору замените суммы на данные своего проекта.</t>
        </is>
      </c>
    </row>
    <row r="3"/>
    <row r="4">
      <c r="A4" s="3" t="inlineStr">
        <is>
          <t>Статья</t>
        </is>
      </c>
      <c r="B4" s="3" t="inlineStr">
        <is>
          <t>Сумма, сум</t>
        </is>
      </c>
      <c r="C4" s="3" t="inlineStr">
        <is>
          <t>Комментарий</t>
        </is>
      </c>
    </row>
    <row r="5" ht="45" customHeight="1">
      <c r="A5" s="4" t="inlineStr">
        <is>
          <t>Столбец «Сумма, сум» уже заполнен примером расчёта для иллюстративной компании из этого бизнес-плана — на основе рыночных ориентиров 2025-2026 года (там, где источник известен — со ссылкой в комментарии) или экспертной оценки порядка величины (это тоже отмечено). Итоги, прибыль, срок окупаемости и рентабельность ниже пересчитаются автоматически (это формулы). Замените суммы в столбце B на данные вашего собственного проекта — тогда пересчитается всё.</t>
        </is>
      </c>
    </row>
    <row r="6"/>
    <row r="7">
      <c r="A7" s="5" t="inlineStr">
        <is>
          <t>Начальные инвестиции (требуемая сумма)</t>
        </is>
      </c>
      <c r="B7" s="6">
        <f>B15</f>
        <v/>
      </c>
    </row>
    <row r="8"/>
    <row r="9">
      <c r="A9" s="7" t="inlineStr">
        <is>
          <t>Стартовые затраты (единоразово)</t>
        </is>
      </c>
      <c r="B9" s="8" t="n"/>
      <c r="C9" s="8" t="n"/>
    </row>
    <row r="10" ht="51" customHeight="1">
      <c r="A10" s="9" t="inlineStr">
        <is>
          <t>Регистрация резидента IT Park</t>
        </is>
      </c>
      <c r="B10" s="6" t="n">
        <v>12000000</v>
      </c>
      <c r="C10" s="9" t="inlineStr">
        <is>
          <t>налоговые льготы для экспорта IT-услуг — Пример: оценка: юр. сопровождение регистрации ООО и получения статуса резидента IT Park</t>
        </is>
      </c>
    </row>
    <row r="11" ht="36" customHeight="1">
      <c r="A11" s="9" t="inlineStr">
        <is>
          <t>Рабочие станции и техника</t>
        </is>
      </c>
      <c r="B11" s="6" t="n">
        <v>140000000</v>
      </c>
      <c r="C11" s="9" t="inlineStr">
        <is>
          <t>Пример: 6 рабочих мест: 3 MacBook Pro (~28-32 млн/шт., обязательны для iOS-разработки) + 3 ПК/ноутбука (~13-15 млн/шт.)</t>
        </is>
      </c>
    </row>
    <row r="12" ht="36" customHeight="1">
      <c r="A12" s="9" t="inlineStr">
        <is>
          <t>Лицензии на ПО и инструменты разработки</t>
        </is>
      </c>
      <c r="B12" s="6" t="n">
        <v>20000000</v>
      </c>
      <c r="C12" s="9" t="inlineStr">
        <is>
          <t>Пример: оценка: Apple Developer, Google Play Console, JetBrains, Figma, тестовые устройства на команду</t>
        </is>
      </c>
    </row>
    <row r="13" ht="36" customHeight="1">
      <c r="A13" s="9" t="inlineStr">
        <is>
          <t>Сайт / портфолио</t>
        </is>
      </c>
      <c r="B13" s="6" t="n">
        <v>12000000</v>
      </c>
      <c r="C13" s="9" t="inlineStr">
        <is>
          <t>Пример: оценка стоимости разработки сайта-портфолио для привлечения европейских заказчиков</t>
        </is>
      </c>
    </row>
    <row r="14" ht="51" customHeight="1">
      <c r="A14" s="9" t="inlineStr">
        <is>
          <t>Первый маркетинговый бюджет</t>
        </is>
      </c>
      <c r="B14" s="6" t="n">
        <v>20000000</v>
      </c>
      <c r="C14" s="9" t="inlineStr">
        <is>
          <t>профили на биржах фриланса/аутсорса, реклама — Пример: оценка: лидогенерация (LinkedIn Ads, Upwork/Clutch, тематические каталоги)</t>
        </is>
      </c>
    </row>
    <row r="15">
      <c r="A15" s="10" t="inlineStr">
        <is>
          <t>Итого: стартовые затраты (единоразово)</t>
        </is>
      </c>
      <c r="B15" s="11">
        <f>SUM(B10:B14)</f>
        <v/>
      </c>
      <c r="C15" s="12" t="n"/>
    </row>
    <row r="16"/>
    <row r="17">
      <c r="A17" s="7" t="inlineStr">
        <is>
          <t>Ежемесячная выручка</t>
        </is>
      </c>
      <c r="B17" s="8" t="n"/>
      <c r="C17" s="8" t="n"/>
    </row>
    <row r="18" ht="51" customHeight="1">
      <c r="A18" s="9" t="inlineStr">
        <is>
          <t>Проекты по договорам</t>
        </is>
      </c>
      <c r="B18" s="6" t="n">
        <v>105000000</v>
      </c>
      <c r="C18" s="9" t="inlineStr">
        <is>
          <t>fixed price / time&amp;material — Пример: 2 параллельных проекта, ~5 billable специалистов, блендовая ставка ~$15-20/час, ~150 ч/мес на человека</t>
        </is>
      </c>
    </row>
    <row r="19" ht="36" customHeight="1">
      <c r="A19" s="9" t="inlineStr">
        <is>
          <t>Подписочная модель (SaaS)</t>
        </is>
      </c>
      <c r="B19" s="6" t="n">
        <v>5000000</v>
      </c>
      <c r="C19" s="9" t="inlineStr">
        <is>
          <t>при продуктовой модели — Пример: оценка: небольшой собственный SaaS-продукт на раннем этапе монетизации</t>
        </is>
      </c>
    </row>
    <row r="20" ht="36" customHeight="1">
      <c r="A20" s="9" t="inlineStr">
        <is>
          <t>Поддержка и сопровождение</t>
        </is>
      </c>
      <c r="B20" s="6" t="n">
        <v>15000000</v>
      </c>
      <c r="C20" s="9" t="inlineStr">
        <is>
          <t>Пример: оценка выручки от ретейнер-контрактов на поддержку сданных проектов</t>
        </is>
      </c>
    </row>
    <row r="21" ht="21" customHeight="1">
      <c r="A21" s="9" t="inlineStr">
        <is>
          <t>Консалтинг и аудит существующих систем</t>
        </is>
      </c>
      <c r="B21" s="6" t="n">
        <v>10000000</v>
      </c>
      <c r="C21" s="9" t="inlineStr">
        <is>
          <t>Пример: оценка выручки от разовых консультационных проектов</t>
        </is>
      </c>
    </row>
    <row r="22">
      <c r="A22" s="10" t="inlineStr">
        <is>
          <t>Итого: ежемесячная выручка</t>
        </is>
      </c>
      <c r="B22" s="11">
        <f>SUM(B18:B21)</f>
        <v/>
      </c>
      <c r="C22" s="12" t="n"/>
    </row>
    <row r="23"/>
    <row r="24">
      <c r="A24" s="7" t="inlineStr">
        <is>
          <t>Ежемесячные операционные расходы</t>
        </is>
      </c>
      <c r="B24" s="8" t="n"/>
      <c r="C24" s="8" t="n"/>
    </row>
    <row r="25" ht="36" customHeight="1">
      <c r="A25" s="9" t="inlineStr">
        <is>
          <t>ФОТ разработчиков</t>
        </is>
      </c>
      <c r="B25" s="6" t="n">
        <v>86000000</v>
      </c>
      <c r="C25" s="9" t="inlineStr">
        <is>
          <t>Пример: тимлид ~18 млн + 4 разработчика ~13 млн каждый (уровень middle, it-park.uz) + QA ~9 млн + PM part-time ~7 млн</t>
        </is>
      </c>
    </row>
    <row r="26" ht="36" customHeight="1">
      <c r="A26" s="9" t="inlineStr">
        <is>
          <t>Облачная инфраструктура / хостинг</t>
        </is>
      </c>
      <c r="B26" s="6" t="n">
        <v>4000000</v>
      </c>
      <c r="C26" s="9" t="inlineStr">
        <is>
          <t>Пример: оценка расходов на AWS/GCP/CI-CD для нескольких мобильных проектов</t>
        </is>
      </c>
    </row>
    <row r="27" ht="36" customHeight="1">
      <c r="A27" s="9" t="inlineStr">
        <is>
          <t>Подписки на инструменты разработки</t>
        </is>
      </c>
      <c r="B27" s="6" t="n">
        <v>4500000</v>
      </c>
      <c r="C27" s="9" t="inlineStr">
        <is>
          <t>Пример: оценка ежемесячных подписок (JetBrains, Figma, GitHub, тестовые сервисы)</t>
        </is>
      </c>
    </row>
    <row r="28" ht="36" customHeight="1">
      <c r="A28" s="9" t="inlineStr">
        <is>
          <t>Маркетинг и продажи (лидогенерация)</t>
        </is>
      </c>
      <c r="B28" s="6" t="n">
        <v>8500000</v>
      </c>
      <c r="C28" s="9" t="inlineStr">
        <is>
          <t>Пример: оценка расходов на лидогенерацию для европейских клиентов</t>
        </is>
      </c>
    </row>
    <row r="29" ht="21" customHeight="1">
      <c r="A29" s="9" t="inlineStr">
        <is>
          <t>Обучение и развитие команды</t>
        </is>
      </c>
      <c r="B29" s="6" t="n">
        <v>2500000</v>
      </c>
      <c r="C29" s="9" t="inlineStr">
        <is>
          <t>Пример: оценка бюджета на курсы/сертификации, помесячно</t>
        </is>
      </c>
    </row>
    <row r="30" ht="36" customHeight="1">
      <c r="A30" s="9" t="inlineStr">
        <is>
          <t>Юридическое и бухгалтерское сопровождение резидента IT Park</t>
        </is>
      </c>
      <c r="B30" s="6" t="n">
        <v>3500000</v>
      </c>
      <c r="C30" s="9" t="inlineStr">
        <is>
          <t>Пример: оценка стоимости аутсорс-бухгалтерии и юр. сопровождения статуса резидента</t>
        </is>
      </c>
    </row>
    <row r="31">
      <c r="A31" s="10" t="inlineStr">
        <is>
          <t>Итого: ежемесячные операционные расходы</t>
        </is>
      </c>
      <c r="B31" s="11">
        <f>SUM(B25:B30)</f>
        <v/>
      </c>
      <c r="C31" s="12" t="n"/>
    </row>
    <row r="32"/>
    <row r="33">
      <c r="A33" s="5" t="inlineStr">
        <is>
          <t>Ежемесячная прибыль</t>
        </is>
      </c>
      <c r="B33" s="6">
        <f>B22-B31</f>
        <v/>
      </c>
    </row>
    <row r="34"/>
    <row r="35">
      <c r="A35" s="5" t="inlineStr">
        <is>
          <t>Срок выхода на окупаемость, мес.</t>
        </is>
      </c>
      <c r="B35" s="9">
        <f>IFERROR(B7/B33,"—")</f>
        <v/>
      </c>
      <c r="C35" s="9" t="inlineStr">
        <is>
          <t>Формула: Начальные инвестиции ÷ Ежемесячная прибыль</t>
        </is>
      </c>
    </row>
    <row r="36">
      <c r="A36" s="5" t="inlineStr">
        <is>
          <t>Рентабельность продаж, %</t>
        </is>
      </c>
      <c r="B36" s="13">
        <f>IFERROR(B33/B22*100,"—")</f>
        <v/>
      </c>
      <c r="C36" s="9" t="inlineStr">
        <is>
          <t>Формула: Ежемесячная прибыль ÷ Выручка × 100%</t>
        </is>
      </c>
    </row>
    <row r="37"/>
    <row r="38" ht="80" customHeight="1">
      <c r="A38" s="14" t="inlineStr">
        <is>
          <t>Как считался этот пример: Сумма стартовых (капитальных) затрат — 204 млн сум; заявленные в резюме 300 млн описывают запас на 3 мес. работы команды (включая ФОТ, который в модели отнесён к ежемесячным расходам, а не к стартовым). При прибыли ≈26 млн сум/мес окупаемость капитальных затрат ≈7,9 мес. — близко к заявленным ~8 мес.</t>
        </is>
      </c>
    </row>
    <row r="39"/>
    <row r="40" ht="55" customHeight="1">
      <c r="A40" s="4" t="inlineStr">
        <is>
          <t>Это пример расчёта для иллюстративной компании, а не готовая заявка на кредит и не проверенные рыночные данные о реальном бизнесе. Суммы в столбце B — рабочие формулы: замените их на цифры вашего проекта, и итоги, прибыль, срок окупаемости и рентабельность пересчитаются автоматически. Там, где в комментарии указан источник — это ориентир на 2025-2026 год, проверяйте актуальность перед подачей документов в банк; где указана «экспертная оценка» — это иллюстрация порядка величины, а не факт.</t>
        </is>
      </c>
    </row>
  </sheetData>
  <mergeCells count="4">
    <mergeCell ref="A5:C5"/>
    <mergeCell ref="A38:C38"/>
    <mergeCell ref="A2:C2"/>
    <mergeCell ref="A40:C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2026-09-12T07:41:32Z</dcterms:created>
  <dcterms:modified xmlns:dcterms="http://purl.org/dc/terms/" xmlns:xsi="http://www.w3.org/2001/XMLSchema-instance" xsi:type="dcterms:W3CDTF">2026-09-12T07:41:32Z</dcterms:modified>
</cp:coreProperties>
</file>