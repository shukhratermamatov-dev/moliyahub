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ИНФОРМАЦИОННЫЕ ТЕХНОЛОГИИ И СВЯЗЬ (IT)</t>
        </is>
      </c>
    </row>
    <row r="2">
      <c r="A2" s="2" t="inlineStr">
        <is>
          <t>Пример: IT-стартап / аутсорсинговая студия разработки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«Информационные технологии и связь (IT)».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89" customHeight="1">
      <c r="A2" s="6" t="inlineStr">
        <is>
          <t>ПРИМЕР (иллюстрация, не данные реальной компании): Студия разработки «CodeVodiy» специализируется на аутсорсинговой разработке мобильных приложений для европейских клиентов, зарегистрирована резидентом IT Park. Требуемые инвестиции — 300 млн сум на первые 3 месяца работы команды из 6 человек до выхода на устойчивый поток проектов; окупаемость — около 8 месяцев при загрузке команды на 2 параллельных проекта.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Информационные технологии и связь (IT)</t>
        </is>
      </c>
    </row>
    <row r="2" ht="59" customHeight="1">
      <c r="A2" s="4" t="inlineStr">
        <is>
          <t>•  IT Park Uzbekistan даёт резидентам налоговые льготы (в т.ч. освобождение от налога на прибыль для компаний-экспортёров с объёмом экспорта свыше $10 млн) — стоит изучить актуальные условия регистрации резидентом (uz24.uz, it-park.uz).</t>
        </is>
      </c>
    </row>
    <row r="3" ht="74" customHeight="1">
      <c r="A3" s="4" t="inlineStr">
        <is>
          <t>•  Резидентская база IT Park быстро растёт: по данным Spot.uz, с начала 2025 года резидентами стали 636 новых компаний; по данным самого IT Park, только за 7 месяцев 2025 года присоединились 481 новый экспортёр и 232 иностранные компании — конкуренция за кадры и клиентов в резидентском пуле усиливается (spot.uz, it-park.uz).</t>
        </is>
      </c>
    </row>
    <row r="4" ht="59" customHeight="1">
      <c r="A4" s="4" t="inlineStr">
        <is>
          <t>•  Растёт IT-экспорт из Узбекистана — аутсорсинг разработки для рынков США, ЕС и СНГ остаётся основной моделью для большинства резидентов IT Park, наряду с растущим числом продуктовых/SaaS-компаний.</t>
        </is>
      </c>
    </row>
    <row r="5" ht="59" customHeight="1">
      <c r="A5" s="4" t="inlineStr">
        <is>
          <t>•  Дефицит квалифицированных разработчиков создаёт конкуренцию за кадры и давление на зарплаты в отрасли — при планировании ФОТ ориентируйтесь на текущий рынок труда, а не на данные прошлых лет.</t>
        </is>
      </c>
    </row>
    <row r="6" ht="74" customHeight="1">
      <c r="A6" s="4" t="inlineStr">
        <is>
          <t>•  Для сравнения: Грузия и Армения также активно привлекают IT-компании налоговыми льготами и визовыми режимами и конкурируют с Узбекистаном за относительно мобильные команды разработки на аутсорсе — для удержания кадров важны не только зарплата, но и условия (удалёнка, релокационные пакеты, обучение).</t>
        </is>
      </c>
    </row>
    <row r="7" ht="44" customHeight="1">
      <c r="A7" s="4" t="inlineStr">
        <is>
          <t>•  [Впишите] Целевую нишу (аутсорсинг/продукт/SaaS/маркетплейс), конкурентов и их ценообразование — уточняйте по отраслевым обзорам IT Park и профильным сообществам разработчиков.</t>
        </is>
      </c>
    </row>
    <row r="9">
      <c r="A9" s="5" t="inlineStr">
        <is>
          <t>Конкуренты</t>
        </is>
      </c>
    </row>
    <row r="10" ht="45" customHeight="1">
      <c r="A10" s="4" t="inlineStr">
        <is>
          <t>[Впишите] Список из 3-5 прямых конкурентов, их сильные и слабые стороны, чем вы отличаетесь.</t>
        </is>
      </c>
    </row>
    <row r="11">
      <c r="A11" s="5" t="inlineStr">
        <is>
          <t>Целевая аудитория</t>
        </is>
      </c>
    </row>
    <row r="12" ht="45" customHeight="1">
      <c r="A12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8">
    <mergeCell ref="A5:D5"/>
    <mergeCell ref="A6:D6"/>
    <mergeCell ref="A12:D12"/>
    <mergeCell ref="A4:D4"/>
    <mergeCell ref="A3:D3"/>
    <mergeCell ref="A7:D7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59" customHeight="1">
      <c r="A2" s="6" t="inlineStr">
        <is>
          <t>ПРИМЕР (иллюстрация, не данные реальной компании): Цена — по модели time &amp; material, на 20-30% ниже европейских студий сопоставимого уровня; продвижение — профиль на Clutch/Upwork, портфолио кейсов, партнёрство с 1-2 зарубежными IT-агентствами для субподряда на первых проектах.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квалификация лида → оценка и коммерческое предложение → разработка спринтами (Scrum) → сдача этапов заказчику → поддержка после релиза. Ключевая инфраструктура — облачный хостинг, лицензии на инструменты разработки. Требуется регистрация резидентом IT Park для налоговых льгот.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Тимлид-основатель, 4 разработчика, QA-инженер, менеджер проектов на part-time, бухгалтер на аутсорсе. Форма — ООО, резидент IT Park (специальный налоговый режим для IT-экспортёров).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59" customHeight="1">
      <c r="A13" s="4" t="inlineStr">
        <is>
          <t>Отток квалифицированных кадров за рубеж или к конкурентам</t>
        </is>
      </c>
      <c r="C13" s="4" t="inlineStr">
        <is>
          <t>Конкурентная оплата, удалённые/гибридные условия, программы обучения и роста внутри компании</t>
        </is>
      </c>
    </row>
    <row r="14" ht="44" customHeight="1">
      <c r="A14" s="4" t="inlineStr">
        <is>
          <t>Зависимость от 1-2 крупных клиентов</t>
        </is>
      </c>
      <c r="C14" s="4" t="inlineStr">
        <is>
          <t>Диверсификация портфеля клиентов, не более 30-40% выручки от одного заказчика</t>
        </is>
      </c>
    </row>
    <row r="15" ht="44" customHeight="1">
      <c r="A15" s="4" t="inlineStr">
        <is>
          <t>Валютные риски по контрактам в иностранной валюте</t>
        </is>
      </c>
      <c r="C15" s="4" t="inlineStr">
        <is>
          <t>Хеджирование, привязка расчётов к валюте контракта, часть резервов в валюте</t>
        </is>
      </c>
    </row>
    <row r="16" ht="44" customHeight="1">
      <c r="A16" s="4" t="inlineStr">
        <is>
          <t>Изменение условий налоговых льгот IT Park</t>
        </is>
      </c>
      <c r="C16" s="4" t="inlineStr">
        <is>
          <t>Мониторинг регуляторики, диверсификация юрисдикций для крупных экспортёров</t>
        </is>
      </c>
    </row>
    <row r="17" ht="44" customHeight="1">
      <c r="A17" s="4" t="inlineStr">
        <is>
          <t>Рост конкуренции за резидентов и клиентов внутри IT Park</t>
        </is>
      </c>
      <c r="C17" s="4" t="inlineStr">
        <is>
          <t>Узкая специализация/ниша, инвестиции в портфолио и репутацию, а не только цену</t>
        </is>
      </c>
    </row>
    <row r="18" ht="44" customHeight="1">
      <c r="A18" s="4" t="inlineStr">
        <is>
          <t>Кибербезопасность и утечка данных клиентов</t>
        </is>
      </c>
      <c r="C18" s="4" t="inlineStr">
        <is>
          <t>Политики безопасности, NDA с сотрудниками, аудит инфраструктуры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Регистрация резидента IT Park</t>
        </is>
      </c>
      <c r="B7" s="11" t="n">
        <v>0</v>
      </c>
      <c r="C7" s="14" t="inlineStr">
        <is>
          <t>налоговые льготы для экспорта IT-услуг</t>
        </is>
      </c>
    </row>
    <row r="8" ht="21" customHeight="1">
      <c r="A8" s="14" t="inlineStr">
        <is>
          <t>Рабочие станции и техника</t>
        </is>
      </c>
      <c r="B8" s="11" t="n">
        <v>0</v>
      </c>
      <c r="C8" s="14" t="inlineStr"/>
    </row>
    <row r="9" ht="21" customHeight="1">
      <c r="A9" s="14" t="inlineStr">
        <is>
          <t>Лицензии на ПО и инструменты разработки</t>
        </is>
      </c>
      <c r="B9" s="11" t="n">
        <v>0</v>
      </c>
      <c r="C9" s="14" t="inlineStr"/>
    </row>
    <row r="10" ht="21" customHeight="1">
      <c r="A10" s="14" t="inlineStr">
        <is>
          <t>Сайт / портфолио</t>
        </is>
      </c>
      <c r="B10" s="11" t="n">
        <v>0</v>
      </c>
      <c r="C10" s="14" t="inlineStr"/>
    </row>
    <row r="11" ht="21" customHeight="1">
      <c r="A11" s="14" t="inlineStr">
        <is>
          <t>Первый маркетинговый бюджет</t>
        </is>
      </c>
      <c r="B11" s="11" t="n">
        <v>0</v>
      </c>
      <c r="C11" s="14" t="inlineStr">
        <is>
          <t>профили на биржах фриланса/аутсорса, реклама</t>
        </is>
      </c>
    </row>
    <row r="12">
      <c r="A12" s="15" t="inlineStr">
        <is>
          <t>Итого: стартовые затраты (единоразово)</t>
        </is>
      </c>
      <c r="B12" s="16">
        <f>SUM(B7:B11)</f>
        <v/>
      </c>
      <c r="C12" s="17" t="n"/>
    </row>
    <row r="13"/>
    <row r="14">
      <c r="A14" s="12" t="inlineStr">
        <is>
          <t>Ежемесячная выручка</t>
        </is>
      </c>
      <c r="B14" s="13" t="n"/>
      <c r="C14" s="13" t="n"/>
    </row>
    <row r="15" ht="21" customHeight="1">
      <c r="A15" s="14" t="inlineStr">
        <is>
          <t>Проекты по договорам</t>
        </is>
      </c>
      <c r="B15" s="11" t="n">
        <v>0</v>
      </c>
      <c r="C15" s="14" t="inlineStr">
        <is>
          <t>fixed price / time&amp;material</t>
        </is>
      </c>
    </row>
    <row r="16" ht="21" customHeight="1">
      <c r="A16" s="14" t="inlineStr">
        <is>
          <t>Подписочная модель (SaaS)</t>
        </is>
      </c>
      <c r="B16" s="11" t="n">
        <v>0</v>
      </c>
      <c r="C16" s="14" t="inlineStr">
        <is>
          <t>при продуктовой модели</t>
        </is>
      </c>
    </row>
    <row r="17" ht="21" customHeight="1">
      <c r="A17" s="14" t="inlineStr">
        <is>
          <t>Поддержка и сопровождение</t>
        </is>
      </c>
      <c r="B17" s="11" t="n">
        <v>0</v>
      </c>
      <c r="C17" s="14" t="inlineStr"/>
    </row>
    <row r="18" ht="21" customHeight="1">
      <c r="A18" s="14" t="inlineStr">
        <is>
          <t>Консалтинг и аудит существующих систем</t>
        </is>
      </c>
      <c r="B18" s="11" t="n">
        <v>0</v>
      </c>
      <c r="C18" s="14" t="inlineStr"/>
    </row>
    <row r="19">
      <c r="A19" s="15" t="inlineStr">
        <is>
          <t>Итого: ежемесячная выручка</t>
        </is>
      </c>
      <c r="B19" s="16">
        <f>SUM(B15:B18)</f>
        <v/>
      </c>
      <c r="C19" s="17" t="n"/>
    </row>
    <row r="20"/>
    <row r="21">
      <c r="A21" s="12" t="inlineStr">
        <is>
          <t>Ежемесячные операционные расходы</t>
        </is>
      </c>
      <c r="B21" s="13" t="n"/>
      <c r="C21" s="13" t="n"/>
    </row>
    <row r="22" ht="21" customHeight="1">
      <c r="A22" s="14" t="inlineStr">
        <is>
          <t>ФОТ разработчиков</t>
        </is>
      </c>
      <c r="B22" s="11" t="n">
        <v>0</v>
      </c>
      <c r="C22" s="14" t="inlineStr"/>
    </row>
    <row r="23" ht="21" customHeight="1">
      <c r="A23" s="14" t="inlineStr">
        <is>
          <t>Облачная инфраструктура / хостинг</t>
        </is>
      </c>
      <c r="B23" s="11" t="n">
        <v>0</v>
      </c>
      <c r="C23" s="14" t="inlineStr"/>
    </row>
    <row r="24" ht="21" customHeight="1">
      <c r="A24" s="14" t="inlineStr">
        <is>
          <t>Подписки на инструменты разработки</t>
        </is>
      </c>
      <c r="B24" s="11" t="n">
        <v>0</v>
      </c>
      <c r="C24" s="14" t="inlineStr"/>
    </row>
    <row r="25" ht="21" customHeight="1">
      <c r="A25" s="14" t="inlineStr">
        <is>
          <t>Маркетинг и продажи (лидогенерация)</t>
        </is>
      </c>
      <c r="B25" s="11" t="n">
        <v>0</v>
      </c>
      <c r="C25" s="14" t="inlineStr"/>
    </row>
    <row r="26" ht="21" customHeight="1">
      <c r="A26" s="14" t="inlineStr">
        <is>
          <t>Обучение и развитие команды</t>
        </is>
      </c>
      <c r="B26" s="11" t="n">
        <v>0</v>
      </c>
      <c r="C26" s="14" t="inlineStr"/>
    </row>
    <row r="27" ht="21" customHeight="1">
      <c r="A27" s="14" t="inlineStr">
        <is>
          <t>Юридическое и бухгалтерское сопровождение резидента IT Park</t>
        </is>
      </c>
      <c r="B27" s="11" t="n">
        <v>0</v>
      </c>
      <c r="C27" s="14" t="inlineStr"/>
    </row>
    <row r="28">
      <c r="A28" s="15" t="inlineStr">
        <is>
          <t>Итого: ежемесячные операционные расходы</t>
        </is>
      </c>
      <c r="B28" s="16">
        <f>SUM(B22:B27)</f>
        <v/>
      </c>
      <c r="C28" s="17" t="n"/>
    </row>
    <row r="29"/>
    <row r="30">
      <c r="A30" s="10" t="inlineStr">
        <is>
          <t>Ежемесячная прибыль</t>
        </is>
      </c>
      <c r="B30" s="11">
        <f>B19-B28</f>
        <v/>
      </c>
    </row>
    <row r="31"/>
    <row r="32">
      <c r="A32" s="10" t="inlineStr">
        <is>
          <t>Срок выхода на окупаемость, мес.</t>
        </is>
      </c>
      <c r="B32" s="14">
        <f>IFERROR(B4/B30,"—")</f>
        <v/>
      </c>
      <c r="C32" s="14">
        <f> Начальные инвестиции / Ежемесячная прибыль</f>
        <v/>
      </c>
    </row>
    <row r="33">
      <c r="A33" s="10" t="inlineStr">
        <is>
          <t>Рентабельность продаж, %</t>
        </is>
      </c>
      <c r="B33" s="18">
        <f>IFERROR(B30/B19*100,"—")</f>
        <v/>
      </c>
      <c r="C33" s="14">
        <f> Ежемесячная прибыль / Выручка × 100%</f>
        <v/>
      </c>
    </row>
    <row r="34"/>
    <row r="35" ht="40" customHeight="1">
      <c r="A35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5:C35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2026-09-10T09:41:08Z</dcterms:created>
  <dcterms:modified xmlns:dcterms="http://purl.org/dc/terms/" xmlns:xsi="http://www.w3.org/2001/XMLSchema-instance" xsi:type="dcterms:W3CDTF">2026-09-10T09:41:08Z</dcterms:modified>
</cp:coreProperties>
</file>