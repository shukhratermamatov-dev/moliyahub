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ИНФОРМАЦИОННЫЕ ТЕХНОЛОГИИ И СВЯЗЬ (IT)</t>
        </is>
      </c>
    </row>
    <row r="2" ht="45" customHeight="1">
      <c r="A2" s="2" t="inlineStr">
        <is>
          <t>Этот файл дополняет текстовый документ бизнес-плана MoliyaHub для отрасли «Информационные технологии и связь (IT)»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Регистрация резидента IT Park</t>
        </is>
      </c>
      <c r="B10" s="6" t="n">
        <v>0</v>
      </c>
      <c r="C10" s="9" t="inlineStr">
        <is>
          <t>налоговые льготы для экспорта IT-услуг</t>
        </is>
      </c>
    </row>
    <row r="11" ht="21" customHeight="1">
      <c r="A11" s="9" t="inlineStr">
        <is>
          <t>Рабочие станции и техника</t>
        </is>
      </c>
      <c r="B11" s="6" t="n">
        <v>0</v>
      </c>
      <c r="C11" s="9" t="inlineStr"/>
    </row>
    <row r="12" ht="21" customHeight="1">
      <c r="A12" s="9" t="inlineStr">
        <is>
          <t>Лицензии на ПО и инструменты разработки</t>
        </is>
      </c>
      <c r="B12" s="6" t="n">
        <v>0</v>
      </c>
      <c r="C12" s="9" t="inlineStr"/>
    </row>
    <row r="13" ht="21" customHeight="1">
      <c r="A13" s="9" t="inlineStr">
        <is>
          <t>Сайт / портфолио</t>
        </is>
      </c>
      <c r="B13" s="6" t="n">
        <v>0</v>
      </c>
      <c r="C13" s="9" t="inlineStr"/>
    </row>
    <row r="14" ht="21" customHeight="1">
      <c r="A14" s="9" t="inlineStr">
        <is>
          <t>Первый маркетинговый бюджет</t>
        </is>
      </c>
      <c r="B14" s="6" t="n">
        <v>0</v>
      </c>
      <c r="C14" s="9" t="inlineStr">
        <is>
          <t>профили на биржах фриланса/аутсорса, реклама</t>
        </is>
      </c>
    </row>
    <row r="15">
      <c r="A15" s="10" t="inlineStr">
        <is>
          <t>Итого: стартовые затраты (единоразово)</t>
        </is>
      </c>
      <c r="B15" s="11">
        <f>SUM(B10:B14)</f>
        <v/>
      </c>
      <c r="C15" s="12" t="n"/>
    </row>
    <row r="16"/>
    <row r="17">
      <c r="A17" s="7" t="inlineStr">
        <is>
          <t>Ежемесячная выручка</t>
        </is>
      </c>
      <c r="B17" s="8" t="n"/>
      <c r="C17" s="8" t="n"/>
    </row>
    <row r="18" ht="21" customHeight="1">
      <c r="A18" s="9" t="inlineStr">
        <is>
          <t>Проекты по договорам</t>
        </is>
      </c>
      <c r="B18" s="6" t="n">
        <v>0</v>
      </c>
      <c r="C18" s="9" t="inlineStr">
        <is>
          <t>fixed price / time&amp;material</t>
        </is>
      </c>
    </row>
    <row r="19" ht="21" customHeight="1">
      <c r="A19" s="9" t="inlineStr">
        <is>
          <t>Подписочная модель (SaaS)</t>
        </is>
      </c>
      <c r="B19" s="6" t="n">
        <v>0</v>
      </c>
      <c r="C19" s="9" t="inlineStr">
        <is>
          <t>при продуктовой модели</t>
        </is>
      </c>
    </row>
    <row r="20" ht="21" customHeight="1">
      <c r="A20" s="9" t="inlineStr">
        <is>
          <t>Поддержка и сопровождение</t>
        </is>
      </c>
      <c r="B20" s="6" t="n">
        <v>0</v>
      </c>
      <c r="C20" s="9" t="inlineStr"/>
    </row>
    <row r="21" ht="21" customHeight="1">
      <c r="A21" s="9" t="inlineStr">
        <is>
          <t>Консалтинг и аудит существующих систем</t>
        </is>
      </c>
      <c r="B21" s="6" t="n">
        <v>0</v>
      </c>
      <c r="C21" s="9" t="inlineStr"/>
    </row>
    <row r="22">
      <c r="A22" s="10" t="inlineStr">
        <is>
          <t>Итого: ежемесячная выручка</t>
        </is>
      </c>
      <c r="B22" s="11">
        <f>SUM(B18:B21)</f>
        <v/>
      </c>
      <c r="C22" s="12" t="n"/>
    </row>
    <row r="23"/>
    <row r="24">
      <c r="A24" s="7" t="inlineStr">
        <is>
          <t>Ежемесячные операционные расходы</t>
        </is>
      </c>
      <c r="B24" s="8" t="n"/>
      <c r="C24" s="8" t="n"/>
    </row>
    <row r="25" ht="21" customHeight="1">
      <c r="A25" s="9" t="inlineStr">
        <is>
          <t>ФОТ разработчиков</t>
        </is>
      </c>
      <c r="B25" s="6" t="n">
        <v>0</v>
      </c>
      <c r="C25" s="9" t="inlineStr"/>
    </row>
    <row r="26" ht="21" customHeight="1">
      <c r="A26" s="9" t="inlineStr">
        <is>
          <t>Облачная инфраструктура / хостинг</t>
        </is>
      </c>
      <c r="B26" s="6" t="n">
        <v>0</v>
      </c>
      <c r="C26" s="9" t="inlineStr"/>
    </row>
    <row r="27" ht="21" customHeight="1">
      <c r="A27" s="9" t="inlineStr">
        <is>
          <t>Подписки на инструменты разработки</t>
        </is>
      </c>
      <c r="B27" s="6" t="n">
        <v>0</v>
      </c>
      <c r="C27" s="9" t="inlineStr"/>
    </row>
    <row r="28" ht="21" customHeight="1">
      <c r="A28" s="9" t="inlineStr">
        <is>
          <t>Маркетинг и продажи (лидогенерация)</t>
        </is>
      </c>
      <c r="B28" s="6" t="n">
        <v>0</v>
      </c>
      <c r="C28" s="9" t="inlineStr"/>
    </row>
    <row r="29" ht="21" customHeight="1">
      <c r="A29" s="9" t="inlineStr">
        <is>
          <t>Обучение и развитие команды</t>
        </is>
      </c>
      <c r="B29" s="6" t="n">
        <v>0</v>
      </c>
      <c r="C29" s="9" t="inlineStr"/>
    </row>
    <row r="30" ht="21" customHeight="1">
      <c r="A30" s="9" t="inlineStr">
        <is>
          <t>Юридическое и бухгалтерское сопровождение резидента IT Park</t>
        </is>
      </c>
      <c r="B30" s="6" t="n">
        <v>0</v>
      </c>
      <c r="C30" s="9" t="inlineStr"/>
    </row>
    <row r="31">
      <c r="A31" s="10" t="inlineStr">
        <is>
          <t>Итого: ежемесячные операционные расходы</t>
        </is>
      </c>
      <c r="B31" s="11">
        <f>SUM(B25:B30)</f>
        <v/>
      </c>
      <c r="C31" s="12" t="n"/>
    </row>
    <row r="32"/>
    <row r="33">
      <c r="A33" s="5" t="inlineStr">
        <is>
          <t>Ежемесячная прибыль</t>
        </is>
      </c>
      <c r="B33" s="6">
        <f>B22-B31</f>
        <v/>
      </c>
    </row>
    <row r="34"/>
    <row r="35">
      <c r="A35" s="5" t="inlineStr">
        <is>
          <t>Срок выхода на окупаемость, мес.</t>
        </is>
      </c>
      <c r="B35" s="9">
        <f>IFERROR(B7/B33,"—")</f>
        <v/>
      </c>
      <c r="C35" s="9">
        <f> Начальные инвестиции / Ежемесячная прибыль</f>
        <v/>
      </c>
    </row>
    <row r="36">
      <c r="A36" s="5" t="inlineStr">
        <is>
          <t>Рентабельность продаж, %</t>
        </is>
      </c>
      <c r="B36" s="13">
        <f>IFERROR(B33/B22*100,"—")</f>
        <v/>
      </c>
      <c r="C36" s="9">
        <f> Ежемесячная прибыль / Выручка × 100%</f>
        <v/>
      </c>
    </row>
    <row r="37"/>
    <row r="38" ht="40" customHeight="1">
      <c r="A38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38:C38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