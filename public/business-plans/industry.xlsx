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ПРОМЫШЛЕННОСТЬ</t>
        </is>
      </c>
    </row>
    <row r="2">
      <c r="A2" s="2" t="inlineStr">
        <is>
          <t>Пример: небольшое перерабатывающее или швейное производство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«Промышленность».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89" customHeight="1">
      <c r="A2" s="6" t="inlineStr">
        <is>
          <t>ПРИМЕР (иллюстрация, не данные реальной компании): ООО «Vodiy Tekstil» открывает швейный цех полного цикла в Ферганской области на 40 рабочих мест: закупка хлопковой пряжи у местного кластера, пошив трикотажных изделий для экспорта в Казахстан и Россию. Требуемые инвестиции — 850 млн сум на оборудование и оборотный капитал на первую партию; срок окупаемости — около 18 месяцев за счёт контракта с оптовым дистрибьютором на первый год.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Промышленность</t>
        </is>
      </c>
    </row>
    <row r="2" ht="59" customHeight="1">
      <c r="A2" s="4" t="inlineStr">
        <is>
          <t>•  Узбекистан — один из крупнейших мировых производителей хлопка-волокна; сырьевая база для текстильной и швейной отрасли — на месте, что снижает валютные риски по сырью по сравнению с странами-импортёрами хлопка.</t>
        </is>
      </c>
    </row>
    <row r="3" ht="59" customHeight="1">
      <c r="A3" s="4" t="inlineStr">
        <is>
          <t>•  Текстильная и швейная промышленность — приоритетный экспортный сектор: действуют кластерная система (от хлопка до готового изделия в одной цепочке), свободные экономические зоны и налоговые льготы для производителей-экспортёров.</t>
        </is>
      </c>
    </row>
    <row r="4" ht="74" customHeight="1">
      <c r="A4" s="4" t="inlineStr">
        <is>
          <t>•  По данным Госкомстата, за январь–апрель 2026 года Узбекистан экспортировал текстильной продукции на $454,5 млн (готовые изделия — 50%, пряжа — 32%), что заметно ниже уровня аналогичного периода 2025 года (около $840 млн) — отрасль ощущает давление внешнего спроса и ценовой конкуренции, планировать выручку на экспорт стоит консервативно (stat.uz).</t>
        </is>
      </c>
    </row>
    <row r="5" ht="74" customHeight="1">
      <c r="A5" s="4" t="inlineStr">
        <is>
          <t>•  Для сравнения: Турция и Пакистан остаются крупнейшими конкурентами на глобальном рынке текстиля и швейных изделий за счёт масштаба производства и близости к морским портам; Узбекистан конкурирует прежде всего собственным хлопковым сырьём и льготными условиями в кластерах — логистика в ЕС/США у него дороже и дольше.</t>
        </is>
      </c>
    </row>
    <row r="6" ht="59" customHeight="1">
      <c r="A6" s="4" t="inlineStr">
        <is>
          <t>•  Растёт экспорт в страны СНГ и ЕС (Узбекистан имеет преференциальный режим GSP+ с ЕС на часть товарных позиций) — учитывайте требования к качеству, сертификации (ISO, Oeko-Tex для текстиля) и происхождению товара на целевом рынке.</t>
        </is>
      </c>
    </row>
    <row r="7" ht="74" customHeight="1">
      <c r="A7" s="4" t="inlineStr">
        <is>
          <t>•  Горнодобыча и металлургия (золото, медь, урановое сырьё) — капиталоёмкие подотрасли с доминированием крупных государственных холдингов (АГМК, НГМК); малому и среднему бизнесу здесь реалистичнее заходить через сервис и подряд (обслуживание техники, транспорт, стройка на объектах), а не через добычу.</t>
        </is>
      </c>
    </row>
    <row r="8" ht="59" customHeight="1">
      <c r="A8" s="4" t="inlineStr">
        <is>
          <t>•  Химическая, фармацевтическая и стройматериальная подотрасли растут за счёт импортозамещения и госпрограмм локализации — субсидии и таможенные льготы на оборудование для локализуемых производств стоит проверять по актуальному перечню Мининвестпрома на момент запуска.</t>
        </is>
      </c>
    </row>
    <row r="9" ht="59" customHeight="1">
      <c r="A9" s="4" t="inlineStr">
        <is>
          <t>•  [Впишите] Объём и динамику конкретного продуктового сегмента, ключевых конкурентов и их долю рынка — эти данные лучше собрать под конкретный продукт (отраслевая статистика Госкомстата, отраслевые ассоциации, таможенная статистика).</t>
        </is>
      </c>
    </row>
    <row r="11">
      <c r="A11" s="5" t="inlineStr">
        <is>
          <t>Конкуренты</t>
        </is>
      </c>
    </row>
    <row r="12" ht="45" customHeight="1">
      <c r="A12" s="4" t="inlineStr">
        <is>
          <t>[Впишите] Список из 3-5 прямых конкурентов, их сильные и слабые стороны, чем вы отличаетесь.</t>
        </is>
      </c>
    </row>
    <row r="13">
      <c r="A13" s="5" t="inlineStr">
        <is>
          <t>Целевая аудитория</t>
        </is>
      </c>
    </row>
    <row r="14" ht="45" customHeight="1">
      <c r="A14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10">
    <mergeCell ref="A5:D5"/>
    <mergeCell ref="A9:D9"/>
    <mergeCell ref="A8:D8"/>
    <mergeCell ref="A6:D6"/>
    <mergeCell ref="A12:D12"/>
    <mergeCell ref="A4:D4"/>
    <mergeCell ref="A3:D3"/>
    <mergeCell ref="A7:D7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на 10-15% ниже турецких аналогов за счёт местного сырья; продажи через прямые контракты с 3 оптовыми сетями в Казахстане и участие в отраслевых выставках (Uzbekistan Textile Expo); первые заказы — через существующие связи владельца в отрасли и каталог на B2B-платформах.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приём пряжи от кластера → вязка полотна → раскрой → пошив → упаковка → отгрузка. Ключевой поставщик сырья — местный хлопково-текстильный кластер по долгосрочному договору. Необходимые разрешения: сертификат соответствия на продукцию, при экспорте — сертификат происхождения товара.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Директор-учредитель, технолог производства, 2 мастера смены, 36 швей, бухгалтер на аутсорсе. Форма — ООО (общество с ограниченной ответственностью), упрощённый налоговый режим на старте.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59" customHeight="1">
      <c r="A13" s="4" t="inlineStr">
        <is>
          <t>Колебания курса при импорте оборудования и части фурнитуры</t>
        </is>
      </c>
      <c r="C13" s="4" t="inlineStr">
        <is>
          <t>Фиксировать цены в договорах, закупать оборудование партиями, диверсифицировать поставщиков</t>
        </is>
      </c>
    </row>
    <row r="14" ht="44" customHeight="1">
      <c r="A14" s="4" t="inlineStr">
        <is>
          <t>Дефицит квалифицированных кадров (технологи, наладчики оборудования)</t>
        </is>
      </c>
      <c r="C14" s="4" t="inlineStr">
        <is>
          <t>Обучение на месте, партнёрство с колледжами/техникумами, стажировки</t>
        </is>
      </c>
    </row>
    <row r="15" ht="59" customHeight="1">
      <c r="A15" s="4" t="inlineStr">
        <is>
          <t>Изменение экспортных пошлин, квот или условий преференциальных режимов (GSP+)</t>
        </is>
      </c>
      <c r="C15" s="4" t="inlineStr">
        <is>
          <t>Мониторинг госпрограмм поддержки экспорта (Uzexport, торговые представительства), консультации с таможенными брокерами</t>
        </is>
      </c>
    </row>
    <row r="16" ht="44" customHeight="1">
      <c r="A16" s="4" t="inlineStr">
        <is>
          <t>Падение экспортных цен/спроса на внешних рынках (как в начале 2026 года)</t>
        </is>
      </c>
      <c r="C16" s="4" t="inlineStr">
        <is>
          <t>Диверсификация рынков сбыта, часть продукции — на внутренний рынок и в страны СНГ</t>
        </is>
      </c>
    </row>
    <row r="17" ht="44" customHeight="1">
      <c r="A17" s="4" t="inlineStr">
        <is>
          <t>Рост цен на энергоносители и перебои электроснабжения на производстве</t>
        </is>
      </c>
      <c r="C17" s="4" t="inlineStr">
        <is>
          <t>Энергоаудит, резервное электропитание для критичных узлов, энергоэффективное оборудование</t>
        </is>
      </c>
    </row>
    <row r="18" ht="44" customHeight="1">
      <c r="A18" s="4" t="inlineStr">
        <is>
          <t>Задержки поставок сырья от кластера/поставщиков в пиковый сезон</t>
        </is>
      </c>
      <c r="C18" s="4" t="inlineStr">
        <is>
          <t>Страховой запас сырья на 1-2 месяца, альтернативные поставщики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Аренда/ремонт производственного помещения</t>
        </is>
      </c>
      <c r="B7" s="11" t="n">
        <v>0</v>
      </c>
      <c r="C7" s="14" t="inlineStr">
        <is>
          <t>разовый ремонт + депозит</t>
        </is>
      </c>
    </row>
    <row r="8" ht="21" customHeight="1">
      <c r="A8" s="14" t="inlineStr">
        <is>
          <t>Оборудование (станки, швейные/вязальные линии)</t>
        </is>
      </c>
      <c r="B8" s="11" t="n">
        <v>0</v>
      </c>
      <c r="C8" s="14" t="inlineStr">
        <is>
          <t>новое или б/у</t>
        </is>
      </c>
    </row>
    <row r="9" ht="21" customHeight="1">
      <c r="A9" s="14" t="inlineStr">
        <is>
          <t>Сырьё на первую партию</t>
        </is>
      </c>
      <c r="B9" s="11" t="n">
        <v>0</v>
      </c>
      <c r="C9" s="14" t="inlineStr">
        <is>
          <t>запас на 1-2 месяца</t>
        </is>
      </c>
    </row>
    <row r="10" ht="21" customHeight="1">
      <c r="A10" s="14" t="inlineStr">
        <is>
          <t>Регистрация юрлица и разрешения</t>
        </is>
      </c>
      <c r="B10" s="11" t="n">
        <v>0</v>
      </c>
      <c r="C10" s="14" t="inlineStr">
        <is>
          <t>включая сертификацию продукции</t>
        </is>
      </c>
    </row>
    <row r="11" ht="21" customHeight="1">
      <c r="A11" s="14" t="inlineStr">
        <is>
          <t>Спецодежда и охрана труда</t>
        </is>
      </c>
      <c r="B11" s="11" t="n">
        <v>0</v>
      </c>
      <c r="C11" s="14" t="inlineStr"/>
    </row>
    <row r="12" ht="21" customHeight="1">
      <c r="A12" s="14" t="inlineStr">
        <is>
          <t>Пусконаладка и обучение персонала работе на оборудовании</t>
        </is>
      </c>
      <c r="B12" s="11" t="n">
        <v>0</v>
      </c>
      <c r="C12" s="14" t="inlineStr"/>
    </row>
    <row r="13" ht="21" customHeight="1">
      <c r="A13" s="14" t="inlineStr">
        <is>
          <t>Оборотный капитал на первые 1-2 месяца</t>
        </is>
      </c>
      <c r="B13" s="11" t="n">
        <v>0</v>
      </c>
      <c r="C13" s="14" t="inlineStr">
        <is>
          <t>зарплата и текущие расходы до первых продаж</t>
        </is>
      </c>
    </row>
    <row r="14">
      <c r="A14" s="15" t="inlineStr">
        <is>
          <t>Итого: стартовые затраты (единоразово)</t>
        </is>
      </c>
      <c r="B14" s="16">
        <f>SUM(B7:B13)</f>
        <v/>
      </c>
      <c r="C14" s="17" t="n"/>
    </row>
    <row r="15"/>
    <row r="16">
      <c r="A16" s="12" t="inlineStr">
        <is>
          <t>Ежемесячная выручка</t>
        </is>
      </c>
      <c r="B16" s="13" t="n"/>
      <c r="C16" s="13" t="n"/>
    </row>
    <row r="17" ht="21" customHeight="1">
      <c r="A17" s="14" t="inlineStr">
        <is>
          <t>Оптовые продажи</t>
        </is>
      </c>
      <c r="B17" s="11" t="n">
        <v>0</v>
      </c>
      <c r="C17" s="14" t="inlineStr">
        <is>
          <t>торговым сетям/дистрибьюторам</t>
        </is>
      </c>
    </row>
    <row r="18" ht="21" customHeight="1">
      <c r="A18" s="14" t="inlineStr">
        <is>
          <t>Розничные продажи / маркетплейсы</t>
        </is>
      </c>
      <c r="B18" s="11" t="n">
        <v>0</v>
      </c>
      <c r="C18" s="14" t="inlineStr"/>
    </row>
    <row r="19" ht="21" customHeight="1">
      <c r="A19" s="14" t="inlineStr">
        <is>
          <t>Экспортные поставки</t>
        </is>
      </c>
      <c r="B19" s="11" t="n">
        <v>0</v>
      </c>
      <c r="C19" s="14" t="inlineStr">
        <is>
          <t>по прямым контрактам</t>
        </is>
      </c>
    </row>
    <row r="20" ht="21" customHeight="1">
      <c r="A20" s="14" t="inlineStr">
        <is>
          <t>Услуги давальческой переработки (толлинг)</t>
        </is>
      </c>
      <c r="B20" s="11" t="n">
        <v>0</v>
      </c>
      <c r="C20" s="14" t="inlineStr">
        <is>
          <t>пошив/обработка из сырья заказчика</t>
        </is>
      </c>
    </row>
    <row r="21">
      <c r="A21" s="15" t="inlineStr">
        <is>
          <t>Итого: ежемесячная выручка</t>
        </is>
      </c>
      <c r="B21" s="16">
        <f>SUM(B17:B20)</f>
        <v/>
      </c>
      <c r="C21" s="17" t="n"/>
    </row>
    <row r="22"/>
    <row r="23">
      <c r="A23" s="12" t="inlineStr">
        <is>
          <t>Ежемесячные операционные расходы</t>
        </is>
      </c>
      <c r="B23" s="13" t="n"/>
      <c r="C23" s="13" t="n"/>
    </row>
    <row r="24" ht="21" customHeight="1">
      <c r="A24" s="14" t="inlineStr">
        <is>
          <t>Аренда помещения</t>
        </is>
      </c>
      <c r="B24" s="11" t="n">
        <v>0</v>
      </c>
      <c r="C24" s="14" t="inlineStr"/>
    </row>
    <row r="25" ht="21" customHeight="1">
      <c r="A25" s="14" t="inlineStr">
        <is>
          <t>ФОТ производственного персонала</t>
        </is>
      </c>
      <c r="B25" s="11" t="n">
        <v>0</v>
      </c>
      <c r="C25" s="14" t="inlineStr">
        <is>
          <t>включая соцотчисления</t>
        </is>
      </c>
    </row>
    <row r="26" ht="21" customHeight="1">
      <c r="A26" s="14" t="inlineStr">
        <is>
          <t>Сырьё и материалы</t>
        </is>
      </c>
      <c r="B26" s="11" t="n">
        <v>0</v>
      </c>
      <c r="C26" s="14" t="inlineStr"/>
    </row>
    <row r="27" ht="21" customHeight="1">
      <c r="A27" s="14" t="inlineStr">
        <is>
          <t>Электроэнергия и коммунальные услуги</t>
        </is>
      </c>
      <c r="B27" s="11" t="n">
        <v>0</v>
      </c>
      <c r="C27" s="14" t="inlineStr"/>
    </row>
    <row r="28" ht="21" customHeight="1">
      <c r="A28" s="14" t="inlineStr">
        <is>
          <t>Логистика и упаковка</t>
        </is>
      </c>
      <c r="B28" s="11" t="n">
        <v>0</v>
      </c>
      <c r="C28" s="14" t="inlineStr"/>
    </row>
    <row r="29" ht="21" customHeight="1">
      <c r="A29" s="14" t="inlineStr">
        <is>
          <t>Сертификация и лабораторные испытания продукции</t>
        </is>
      </c>
      <c r="B29" s="11" t="n">
        <v>0</v>
      </c>
      <c r="C29" s="14" t="inlineStr">
        <is>
          <t>периодические затраты, не только при запуске</t>
        </is>
      </c>
    </row>
    <row r="30" ht="21" customHeight="1">
      <c r="A30" s="14" t="inlineStr">
        <is>
          <t>Налоги</t>
        </is>
      </c>
      <c r="B30" s="11" t="n">
        <v>0</v>
      </c>
      <c r="C30" s="14" t="inlineStr">
        <is>
          <t>ЕНП/НДС по применимому режиму</t>
        </is>
      </c>
    </row>
    <row r="31" ht="21" customHeight="1">
      <c r="A31" s="14" t="inlineStr">
        <is>
          <t>Маркетинг и продвижение</t>
        </is>
      </c>
      <c r="B31" s="11" t="n">
        <v>0</v>
      </c>
      <c r="C31" s="14" t="inlineStr"/>
    </row>
    <row r="32">
      <c r="A32" s="15" t="inlineStr">
        <is>
          <t>Итого: ежемесячные операционные расходы</t>
        </is>
      </c>
      <c r="B32" s="16">
        <f>SUM(B24:B31)</f>
        <v/>
      </c>
      <c r="C32" s="17" t="n"/>
    </row>
    <row r="33"/>
    <row r="34">
      <c r="A34" s="10" t="inlineStr">
        <is>
          <t>Ежемесячная прибыль</t>
        </is>
      </c>
      <c r="B34" s="11">
        <f>B21-B32</f>
        <v/>
      </c>
    </row>
    <row r="35"/>
    <row r="36">
      <c r="A36" s="10" t="inlineStr">
        <is>
          <t>Срок выхода на окупаемость, мес.</t>
        </is>
      </c>
      <c r="B36" s="14">
        <f>IFERROR(B4/B34,"—")</f>
        <v/>
      </c>
      <c r="C36" s="14">
        <f> Начальные инвестиции / Ежемесячная прибыль</f>
        <v/>
      </c>
    </row>
    <row r="37">
      <c r="A37" s="10" t="inlineStr">
        <is>
          <t>Рентабельность продаж, %</t>
        </is>
      </c>
      <c r="B37" s="18">
        <f>IFERROR(B34/B21*100,"—")</f>
        <v/>
      </c>
      <c r="C37" s="14">
        <f> Ежемесячная прибыль / Выручка × 100%</f>
        <v/>
      </c>
    </row>
    <row r="38"/>
    <row r="39" ht="40" customHeight="1">
      <c r="A39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2:C2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2026-09-10T09:38:30Z</dcterms:created>
  <dcterms:modified xmlns:dcterms="http://purl.org/dc/terms/" xmlns:xsi="http://www.w3.org/2001/XMLSchema-instance" xsi:type="dcterms:W3CDTF">2026-09-10T09:38:30Z</dcterms:modified>
</cp:coreProperties>
</file>