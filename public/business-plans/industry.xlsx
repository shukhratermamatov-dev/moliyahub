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  <font>
      <i val="1"/>
      <color rgb="001D4ED8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ПРОМЫШЛЕННОСТЬ — ПРИМЕР РАСЧЁТА</t>
        </is>
      </c>
    </row>
    <row r="2" ht="65" customHeight="1">
      <c r="A2" s="2" t="inlineStr">
        <is>
          <t>Этот файл дополняет текстовый документ бизнес-плана MoliyaHub для отрасли «Промышленность» (резюме, анализ рынка, маркетинговый/операционный/организационный план, риски — в Word-файле с тем же названием). Здесь — расчётная часть с рабочими формулами, уже заполненная цифрами ПРИМЕРА (иллюстративная компания из резюме бизнес-плана, не реальный заёмщик) — чтобы показать порядок величины и логику расчёта. Перед подачей в банк или инвестору замените суммы на данные своего проекта.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45" customHeight="1">
      <c r="A5" s="4" t="inlineStr">
        <is>
          <t>Столбец «Сумма, сум» уже заполнен примером расчёта для иллюстративной компании из этого бизнес-плана — на основе рыночных ориентиров 2025-2026 года (там, где источник известен — со ссылкой в комментарии) или экспертной оценки порядка величины (это тоже отмечено). Итоги, прибыль, срок окупаемости и рентабельность ниже пересчитаются автоматически (это формулы). Замените суммы в столбце B на данные вашего собственного проекта — тогда пересчитается всё.</t>
        </is>
      </c>
    </row>
    <row r="6"/>
    <row r="7">
      <c r="A7" s="5" t="inlineStr">
        <is>
          <t>Начальные инвестиции (требуемая сумма)</t>
        </is>
      </c>
      <c r="B7" s="6">
        <f>B17</f>
        <v/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66" customHeight="1">
      <c r="A10" s="9" t="inlineStr">
        <is>
          <t>Аренда/ремонт производственного помещения</t>
        </is>
      </c>
      <c r="B10" s="6" t="n">
        <v>130000000</v>
      </c>
      <c r="C10" s="9" t="inlineStr">
        <is>
          <t>разовый ремонт + депозит — Пример: оценка: ремонт цеха ~800-1000 м² в Ферганской обл. + депозит; пром. аренда в регионах в 2-3 раза ниже ташкентской (офисы Ташкента ~$26/м²/мес, CMWP/spot.uz)</t>
        </is>
      </c>
    </row>
    <row r="11" ht="51" customHeight="1">
      <c r="A11" s="9" t="inlineStr">
        <is>
          <t>Оборудование (станки, швейные/вязальные линии)</t>
        </is>
      </c>
      <c r="B11" s="6" t="n">
        <v>400000000</v>
      </c>
      <c r="C11" s="9" t="inlineStr">
        <is>
          <t>новое или б/у — Пример: оценка: ~45 промышленных швейных машин (~6 млн сум/шт с доставкой) + 2-3 кругловязальные машины + раскройное/утюжильное оборудование</t>
        </is>
      </c>
    </row>
    <row r="12" ht="36" customHeight="1">
      <c r="A12" s="9" t="inlineStr">
        <is>
          <t>Сырьё на первую партию</t>
        </is>
      </c>
      <c r="B12" s="6" t="n">
        <v>160000000</v>
      </c>
      <c r="C12" s="9" t="inlineStr">
        <is>
          <t>запас на 1-2 месяца — Пример: оценка: запас пряжи на ~1 мес. производства при доле сырья ~42% в себестоимости</t>
        </is>
      </c>
    </row>
    <row r="13" ht="36" customHeight="1">
      <c r="A13" s="9" t="inlineStr">
        <is>
          <t>Регистрация юрлица и разрешения</t>
        </is>
      </c>
      <c r="B13" s="6" t="n">
        <v>5000000</v>
      </c>
      <c r="C13" s="9" t="inlineStr">
        <is>
          <t>включая сертификацию продукции — Пример: оценка: госпошлины за регистрацию ООО, разрешения СЭС и пожарного надзора</t>
        </is>
      </c>
    </row>
    <row r="14" ht="36" customHeight="1">
      <c r="A14" s="9" t="inlineStr">
        <is>
          <t>Спецодежда и охрана труда</t>
        </is>
      </c>
      <c r="B14" s="6" t="n">
        <v>17000000</v>
      </c>
      <c r="C14" s="9" t="inlineStr">
        <is>
          <t>Пример: оценка: комплекты на 40+ работников (~300 тыс. сум/компл.) + средства охраны труда</t>
        </is>
      </c>
    </row>
    <row r="15" ht="36" customHeight="1">
      <c r="A15" s="9" t="inlineStr">
        <is>
          <t>Пусконаладка и обучение персонала работе на оборудовании</t>
        </is>
      </c>
      <c r="B15" s="6" t="n">
        <v>15000000</v>
      </c>
      <c r="C15" s="9" t="inlineStr">
        <is>
          <t>Пример: оценка: шеф-монтаж линий поставщиком и обучение персонала</t>
        </is>
      </c>
    </row>
    <row r="16" ht="51" customHeight="1">
      <c r="A16" s="9" t="inlineStr">
        <is>
          <t>Оборотный капитал на первые 1-2 месяца</t>
        </is>
      </c>
      <c r="B16" s="6" t="n">
        <v>120000000</v>
      </c>
      <c r="C16" s="9" t="inlineStr">
        <is>
          <t>зарплата и текущие расходы до первых продаж — Пример: оценка: ФОТ, аренда и текущие расходы до первых оплат от покупателей</t>
        </is>
      </c>
    </row>
    <row r="17">
      <c r="A17" s="10" t="inlineStr">
        <is>
          <t>Итого: стартовые затраты (единоразово)</t>
        </is>
      </c>
      <c r="B17" s="11">
        <f>SUM(B10:B16)</f>
        <v/>
      </c>
      <c r="C17" s="12" t="n"/>
    </row>
    <row r="18"/>
    <row r="19">
      <c r="A19" s="7" t="inlineStr">
        <is>
          <t>Ежемесячная выручка</t>
        </is>
      </c>
      <c r="B19" s="8" t="n"/>
      <c r="C19" s="8" t="n"/>
    </row>
    <row r="20" ht="36" customHeight="1">
      <c r="A20" s="9" t="inlineStr">
        <is>
          <t>Оптовые продажи</t>
        </is>
      </c>
      <c r="B20" s="6" t="n">
        <v>171500000</v>
      </c>
      <c r="C20" s="9" t="inlineStr">
        <is>
          <t>торговым сетям/дистрибьюторам — Пример: 35% от выручки — оценка структуры сбыта на внутреннем рынке</t>
        </is>
      </c>
    </row>
    <row r="21" ht="36" customHeight="1">
      <c r="A21" s="9" t="inlineStr">
        <is>
          <t>Розничные продажи / маркетплейсы</t>
        </is>
      </c>
      <c r="B21" s="6" t="n">
        <v>49000000</v>
      </c>
      <c r="C21" s="9" t="inlineStr">
        <is>
          <t>Пример: 10% от выручки — оценка доли прямых продаж (Uzum Market и аналоги)</t>
        </is>
      </c>
    </row>
    <row r="22" ht="36" customHeight="1">
      <c r="A22" s="9" t="inlineStr">
        <is>
          <t>Экспортные поставки</t>
        </is>
      </c>
      <c r="B22" s="6" t="n">
        <v>220500000</v>
      </c>
      <c r="C22" s="9" t="inlineStr">
        <is>
          <t>по прямым контрактам — Пример: 45% от выручки — экспорт в Казахстан и Россию облагается НДС по ставке 0%</t>
        </is>
      </c>
    </row>
    <row r="23" ht="51" customHeight="1">
      <c r="A23" s="9" t="inlineStr">
        <is>
          <t>Услуги давальческой переработки (толлинг)</t>
        </is>
      </c>
      <c r="B23" s="6" t="n">
        <v>49000000</v>
      </c>
      <c r="C23" s="9" t="inlineStr">
        <is>
          <t>пошив/обработка из сырья заказчика — Пример: 10% от выручки — толлинговые заказы, распространённая практика в текстильном кластере Ферганской обл.</t>
        </is>
      </c>
    </row>
    <row r="24">
      <c r="A24" s="10" t="inlineStr">
        <is>
          <t>Итого: ежемесячная выручка</t>
        </is>
      </c>
      <c r="B24" s="11">
        <f>SUM(B20:B23)</f>
        <v/>
      </c>
      <c r="C24" s="12" t="n"/>
    </row>
    <row r="25"/>
    <row r="26">
      <c r="A26" s="7" t="inlineStr">
        <is>
          <t>Ежемесячные операционные расходы</t>
        </is>
      </c>
      <c r="B26" s="8" t="n"/>
      <c r="C26" s="8" t="n"/>
    </row>
    <row r="27" ht="36" customHeight="1">
      <c r="A27" s="9" t="inlineStr">
        <is>
          <t>Аренда помещения</t>
        </is>
      </c>
      <c r="B27" s="6" t="n">
        <v>16000000</v>
      </c>
      <c r="C27" s="9" t="inlineStr">
        <is>
          <t>Пример: оценка: ~800 м² по ~20 тыс. сум/м²/мес — ориентир для промышленной недвижимости в регионе</t>
        </is>
      </c>
    </row>
    <row r="28" ht="66" customHeight="1">
      <c r="A28" s="9" t="inlineStr">
        <is>
          <t>ФОТ производственного персонала</t>
        </is>
      </c>
      <c r="B28" s="6" t="n">
        <v>156500000</v>
      </c>
      <c r="C28" s="9" t="inlineStr">
        <is>
          <t>включая соцотчисления — Пример: 40 швей + технолог + 2 мастера + директор + бухгалтер на аутсорсе; ориентир — средняя зарплата по Ферганской обл. ~4,73 млн сум/мес (Госкомстат/gazeta.uz), сдельная ставка швеи обычно ниже</t>
        </is>
      </c>
    </row>
    <row r="29" ht="36" customHeight="1">
      <c r="A29" s="9" t="inlineStr">
        <is>
          <t>Сырьё и материалы</t>
        </is>
      </c>
      <c r="B29" s="6" t="n">
        <v>205800000</v>
      </c>
      <c r="C29" s="9" t="inlineStr">
        <is>
          <t>Пример: ~42% от выручки — типовая доля материальных затрат в себестоимости трикотажного производства</t>
        </is>
      </c>
    </row>
    <row r="30" ht="36" customHeight="1">
      <c r="A30" s="9" t="inlineStr">
        <is>
          <t>Электроэнергия и коммунальные услуги</t>
        </is>
      </c>
      <c r="B30" s="6" t="n">
        <v>15000000</v>
      </c>
      <c r="C30" s="9" t="inlineStr">
        <is>
          <t>Пример: оценка для цеха с ~40 швейными машинами и вязальными линиями</t>
        </is>
      </c>
    </row>
    <row r="31" ht="36" customHeight="1">
      <c r="A31" s="9" t="inlineStr">
        <is>
          <t>Логистика и упаковка</t>
        </is>
      </c>
      <c r="B31" s="6" t="n">
        <v>14700000</v>
      </c>
      <c r="C31" s="9" t="inlineStr">
        <is>
          <t>Пример: ~3% от выручки — упаковка и транспортировка, включая экспорт в РФ/КЗ</t>
        </is>
      </c>
    </row>
    <row r="32" ht="51" customHeight="1">
      <c r="A32" s="9" t="inlineStr">
        <is>
          <t>Сертификация и лабораторные испытания продукции</t>
        </is>
      </c>
      <c r="B32" s="6" t="n">
        <v>3000000</v>
      </c>
      <c r="C32" s="9" t="inlineStr">
        <is>
          <t>периодические затраты, не только при запуске — Пример: оценка: усреднённые ежемесячные расходы на сертификаты соответствия</t>
        </is>
      </c>
    </row>
    <row r="33" ht="51" customHeight="1">
      <c r="A33" s="9" t="inlineStr">
        <is>
          <t>Налоги</t>
        </is>
      </c>
      <c r="B33" s="6" t="n">
        <v>28000000</v>
      </c>
      <c r="C33" s="9" t="inlineStr">
        <is>
          <t>ЕНП/НДС по применимому режиму — Пример: соц. налог 12% от ФОТ (2026 г.) + оценка налога на прибыль 15% + имущественный/земельный налог</t>
        </is>
      </c>
    </row>
    <row r="34" ht="36" customHeight="1">
      <c r="A34" s="9" t="inlineStr">
        <is>
          <t>Маркетинг и продвижение</t>
        </is>
      </c>
      <c r="B34" s="6" t="n">
        <v>5000000</v>
      </c>
      <c r="C34" s="9" t="inlineStr">
        <is>
          <t>Пример: оценка: продвижение на маркетплейсах и поиск оптовых/экспортных партнёров</t>
        </is>
      </c>
    </row>
    <row r="35">
      <c r="A35" s="10" t="inlineStr">
        <is>
          <t>Итого: ежемесячные операционные расходы</t>
        </is>
      </c>
      <c r="B35" s="11">
        <f>SUM(B27:B34)</f>
        <v/>
      </c>
      <c r="C35" s="12" t="n"/>
    </row>
    <row r="36"/>
    <row r="37">
      <c r="A37" s="5" t="inlineStr">
        <is>
          <t>Ежемесячная прибыль</t>
        </is>
      </c>
      <c r="B37" s="6">
        <f>B24-B35</f>
        <v/>
      </c>
    </row>
    <row r="38"/>
    <row r="39">
      <c r="A39" s="5" t="inlineStr">
        <is>
          <t>Срок выхода на окупаемость, мес.</t>
        </is>
      </c>
      <c r="B39" s="9">
        <f>IFERROR(B7/B37,"—")</f>
        <v/>
      </c>
      <c r="C39" s="9" t="inlineStr">
        <is>
          <t>Формула: Начальные инвестиции ÷ Ежемесячная прибыль</t>
        </is>
      </c>
    </row>
    <row r="40">
      <c r="A40" s="5" t="inlineStr">
        <is>
          <t>Рентабельность продаж, %</t>
        </is>
      </c>
      <c r="B40" s="13">
        <f>IFERROR(B37/B24*100,"—")</f>
        <v/>
      </c>
      <c r="C40" s="9" t="inlineStr">
        <is>
          <t>Формула: Ежемесячная прибыль ÷ Выручка × 100%</t>
        </is>
      </c>
    </row>
    <row r="41"/>
    <row r="42" ht="50" customHeight="1">
      <c r="A42" s="14" t="inlineStr">
        <is>
          <t>Как считался этот пример: Расчётная сумма стартовых затрат — 847 млн сум, практически совпадает с заявленными 850 млн. Расчётная прибыль ≈46 млн сум/мес даёт окупаемость ≈18,5 мес. — соответствует резюме.</t>
        </is>
      </c>
    </row>
    <row r="43"/>
    <row r="44" ht="55" customHeight="1">
      <c r="A44" s="4" t="inlineStr">
        <is>
          <t>Это пример расчёта для иллюстративной компании, а не готовая заявка на кредит и не проверенные рыночные данные о реальном бизнесе. Суммы в столбце B — рабочие формулы: замените их на цифры вашего проекта, и итоги, прибыль, срок окупаемости и рентабельность пересчитаются автоматически. Там, где в комментарии указан источник — это ориентир на 2025-2026 год, проверяйте актуальность перед подачей документов в банк; где указана «экспертная оценка» — это иллюстрация порядка величины, а не факт.</t>
        </is>
      </c>
    </row>
  </sheetData>
  <mergeCells count="4">
    <mergeCell ref="A5:C5"/>
    <mergeCell ref="A42:C42"/>
    <mergeCell ref="A2:C2"/>
    <mergeCell ref="A44:C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2026-09-12T07:41:32Z</dcterms:created>
  <dcterms:modified xmlns:dcterms="http://purl.org/dc/terms/" xmlns:xsi="http://www.w3.org/2001/XMLSchema-instance" xsi:type="dcterms:W3CDTF">2026-09-12T07:41:32Z</dcterms:modified>
</cp:coreProperties>
</file>