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ТУРИЗМ И ИНДУСТРИЯ ГОСТЕПРИИМСТВА</t>
        </is>
      </c>
    </row>
    <row r="2">
      <c r="A2" s="2" t="inlineStr">
        <is>
          <t>Пример: гостевой дом / мини-отель или туристический оператор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«Туризм и индустрия гостеприимства».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74" customHeight="1">
      <c r="A2" s="6" t="inlineStr">
        <is>
          <t>ПРИМЕР (иллюстрация, не данные реальной компании): Гостевой дом «Ipak Yoli Inn» на 8 номеров открывается в историческом центре Бухары с фокусом на индивидуальных туристов из Европы и Юго-Восточной Азии. Требуемые инвестиции — 950 млн сум на ремонт исторического здания и меблировку; окупаемость — около 3 сезонов при средней загрузке 55%.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Туризм и индустрия гостеприимства</t>
        </is>
      </c>
    </row>
    <row r="2" ht="59" customHeight="1">
      <c r="A2" s="4" t="inlineStr">
        <is>
          <t>•  Узбекистан переживает бум въездного туризма: по данным UzDaily и Nuz.uz, за январь–июль 2026 года страну посетили 7,74 млн иностранных туристов — рост на 22,6% год к году, а экспорт туристических услуг за тот же период достиг $3,895 млрд (+56% год к году) (nuz.uz, uzdaily.uz).</t>
        </is>
      </c>
    </row>
    <row r="3" ht="59" customHeight="1">
      <c r="A3" s="4" t="inlineStr">
        <is>
          <t>•  Узбекистан входит в топ-5 стран мира по темпам роста туристического потока (yuz.uz) — это открывает окно возможностей, но одновременно означает быстрый приток новых игроков и рост конкуренции за туристов и кадры.</t>
        </is>
      </c>
    </row>
    <row r="4" ht="59" customHeight="1">
      <c r="A4" s="4" t="inlineStr">
        <is>
          <t>•  Инфраструктура размещения растёт вслед за спросом: только за первые 7 месяцев 2026 года появилось 705 новых объектов размещения (nuz.uz) — рынок мини-отелей и гостевых домов активно насыщается, особенно в Самарканде, Бухаре и Хиве.</t>
        </is>
      </c>
    </row>
    <row r="5" ht="59" customHeight="1">
      <c r="A5" s="4" t="inlineStr">
        <is>
          <t>•  Действует упрощённое лицензирование малых средств размещения и меры поддержки туристического бизнеса; для многих направлений (Россия, страны СНГ, ряд государств Азии) действует упрощённый или безвизовый режим въезда.</t>
        </is>
      </c>
    </row>
    <row r="6" ht="59" customHeight="1">
      <c r="A6" s="4" t="inlineStr">
        <is>
          <t>•  Растёт спрос на нишевые форматы: гастрономический, паломнический и эко-туризм, а также культурно-исторический туризм вне «золотого треугольника» Самарканд-Бухара-Хива — менее насыщенные регионы дают больше пространства для нового бизнеса.</t>
        </is>
      </c>
    </row>
    <row r="7" ht="74" customHeight="1">
      <c r="A7" s="4" t="inlineStr">
        <is>
          <t>•  Для сравнения: Казахстан делает ставку на природный и деловой туризм (Алматы, Астана), а не на культурно-исторический — Узбекистан по историческому наследию Шёлкового пути конкурентов в регионе практически не имеет, но уступает соседям в развитости туристической инфраструктуры вне основных городов.</t>
        </is>
      </c>
    </row>
    <row r="8" ht="44" customHeight="1">
      <c r="A8" s="4" t="inlineStr">
        <is>
          <t>•  [Впишите] Сезонность и загрузку в вашем регионе, средний чек конкурентов — уточняйте по данным Госкомтуризма (uzbekistan.travel) и локальным ассоциациям гостиниц.</t>
        </is>
      </c>
    </row>
    <row r="10">
      <c r="A10" s="5" t="inlineStr">
        <is>
          <t>Конкуренты</t>
        </is>
      </c>
    </row>
    <row r="11" ht="45" customHeight="1">
      <c r="A11" s="4" t="inlineStr">
        <is>
          <t>[Впишите] Список из 3-5 прямых конкурентов, их сильные и слабые стороны, чем вы отличаетесь.</t>
        </is>
      </c>
    </row>
    <row r="12">
      <c r="A12" s="5" t="inlineStr">
        <is>
          <t>Целевая аудитория</t>
        </is>
      </c>
    </row>
    <row r="13" ht="45" customHeight="1">
      <c r="A13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9">
    <mergeCell ref="A5:D5"/>
    <mergeCell ref="A8:D8"/>
    <mergeCell ref="A6:D6"/>
    <mergeCell ref="A4:D4"/>
    <mergeCell ref="A3:D3"/>
    <mergeCell ref="A7:D7"/>
    <mergeCell ref="A2:D2"/>
    <mergeCell ref="A11:D1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74" customHeight="1">
      <c r="A2" s="6" t="inlineStr">
        <is>
          <t>ПРИМЕР (иллюстрация, не данные реальной компании): Цена — на уровне среднего чека по Бухаре с наценкой за аутентичный дизайн и завтрак из местной кухни; продвижение — листинг на Booking.com и Airbnb с профессиональными фото, партнёрство с местными гидами и туроператорами, работа с отзывами для рейтинга площадок.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74" customHeight="1">
      <c r="A5" s="6" t="inlineStr">
        <is>
          <t>ПРИМЕР (иллюстрация, не данные реальной компании): Цикл: бронирование через платформы или напрямую → заселение → обслуживание в течение проживания (завтрак, уборка, консьерж-услуги) → выезд и сбор отзыва. Требуется регистрация и сертификация средства размещения, санитарные разрешения для точки питания при её наличии.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Управляющий-владелец, администратор ресепшена (посменно), 2 горничные, повар для завтраков на part-time. Форма — ИП или ООО в зависимости от масштаба и планов расширения.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59" customHeight="1">
      <c r="A13" s="4" t="inlineStr">
        <is>
          <t>Сезонность спроса (спад в жаркие летние и зимние месяцы)</t>
        </is>
      </c>
      <c r="C13" s="4" t="inlineStr">
        <is>
          <t>Гибкое ценообразование, дополнительные услуги и пакеты в межсезонье, работа с внутренним туризмом</t>
        </is>
      </c>
    </row>
    <row r="14" ht="44" customHeight="1">
      <c r="A14" s="4" t="inlineStr">
        <is>
          <t>Высокие комиссии онлайн-платформ бронирования</t>
        </is>
      </c>
      <c r="C14" s="4" t="inlineStr">
        <is>
          <t>Развитие прямых каналов продаж, программа повторных бронирований и постоянных клиентов</t>
        </is>
      </c>
    </row>
    <row r="15" ht="44" customHeight="1">
      <c r="A15" s="4" t="inlineStr">
        <is>
          <t>Изменение визовых/пограничных правил для ключевых рынков</t>
        </is>
      </c>
      <c r="C15" s="4" t="inlineStr">
        <is>
          <t>Мониторинг регуляторики въездного туризма, диверсификация географии привлекаемых туристов</t>
        </is>
      </c>
    </row>
    <row r="16" ht="44" customHeight="1">
      <c r="A16" s="4" t="inlineStr">
        <is>
          <t>Быстрый рост числа новых объектов размещения и обострение конкуренции</t>
        </is>
      </c>
      <c r="C16" s="4" t="inlineStr">
        <is>
          <t>Чёткое позиционирование и УТП (ниша, дизайн, сервис), а не конкуренция только по цене</t>
        </is>
      </c>
    </row>
    <row r="17" ht="44" customHeight="1">
      <c r="A17" s="4" t="inlineStr">
        <is>
          <t>Дефицит квалифицированного гостиничного персонала (особенно со знанием языков)</t>
        </is>
      </c>
      <c r="C17" s="4" t="inlineStr">
        <is>
          <t>Обучение персонала, конкурентные условия труда, частичная автоматизация ресепшена</t>
        </is>
      </c>
    </row>
    <row r="18" ht="59" customHeight="1">
      <c r="A18" s="4" t="inlineStr">
        <is>
          <t>Ущерб историческим объектам/инфраструктуре от резкого роста турпотока</t>
        </is>
      </c>
      <c r="C18" s="4" t="inlineStr">
        <is>
          <t>Учёт норм охраны исторического наследия при ремонте, участие в программах устойчивого туризма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Ремонт/обустройство помещения под номерной фонд</t>
        </is>
      </c>
      <c r="B7" s="11" t="n">
        <v>0</v>
      </c>
      <c r="C7" s="14" t="inlineStr">
        <is>
          <t>особенно важно для исторических зданий</t>
        </is>
      </c>
    </row>
    <row r="8" ht="21" customHeight="1">
      <c r="A8" s="14" t="inlineStr">
        <is>
          <t>Мебель и оборудование</t>
        </is>
      </c>
      <c r="B8" s="11" t="n">
        <v>0</v>
      </c>
      <c r="C8" s="14" t="inlineStr"/>
    </row>
    <row r="9" ht="21" customHeight="1">
      <c r="A9" s="14" t="inlineStr">
        <is>
          <t>Регистрация и сертификация гостиницы</t>
        </is>
      </c>
      <c r="B9" s="11" t="n">
        <v>0</v>
      </c>
      <c r="C9" s="14" t="inlineStr"/>
    </row>
    <row r="10" ht="21" customHeight="1">
      <c r="A10" s="14" t="inlineStr">
        <is>
          <t>Продвижение на туристических платформах</t>
        </is>
      </c>
      <c r="B10" s="11" t="n">
        <v>0</v>
      </c>
      <c r="C10" s="14" t="inlineStr">
        <is>
          <t>Booking.com, Airbnb и др.</t>
        </is>
      </c>
    </row>
    <row r="11" ht="21" customHeight="1">
      <c r="A11" s="14" t="inlineStr">
        <is>
          <t>Профессиональная фотосъёмка объекта</t>
        </is>
      </c>
      <c r="B11" s="11" t="n">
        <v>0</v>
      </c>
      <c r="C11" s="14" t="inlineStr">
        <is>
          <t>критично для конверсии на платформах бронирования</t>
        </is>
      </c>
    </row>
    <row r="12" ht="21" customHeight="1">
      <c r="A12" s="14" t="inlineStr">
        <is>
          <t>Лицензии на доп. услуги</t>
        </is>
      </c>
      <c r="B12" s="11" t="n">
        <v>0</v>
      </c>
      <c r="C12" s="14" t="inlineStr">
        <is>
          <t>питание, экскурсии — при необходимости</t>
        </is>
      </c>
    </row>
    <row r="13">
      <c r="A13" s="15" t="inlineStr">
        <is>
          <t>Итого: стартовые затраты (единоразово)</t>
        </is>
      </c>
      <c r="B13" s="16">
        <f>SUM(B7:B12)</f>
        <v/>
      </c>
      <c r="C13" s="17" t="n"/>
    </row>
    <row r="14"/>
    <row r="15">
      <c r="A15" s="12" t="inlineStr">
        <is>
          <t>Ежемесячная выручка</t>
        </is>
      </c>
      <c r="B15" s="13" t="n"/>
      <c r="C15" s="13" t="n"/>
    </row>
    <row r="16" ht="21" customHeight="1">
      <c r="A16" s="14" t="inlineStr">
        <is>
          <t>Проживание</t>
        </is>
      </c>
      <c r="B16" s="11" t="n">
        <v>0</v>
      </c>
      <c r="C16" s="14" t="inlineStr">
        <is>
          <t>посуточно / по бронированиям</t>
        </is>
      </c>
    </row>
    <row r="17" ht="21" customHeight="1">
      <c r="A17" s="14" t="inlineStr">
        <is>
          <t>Дополнительные услуги</t>
        </is>
      </c>
      <c r="B17" s="11" t="n">
        <v>0</v>
      </c>
      <c r="C17" s="14" t="inlineStr">
        <is>
          <t>питание, экскурсии, трансфер</t>
        </is>
      </c>
    </row>
    <row r="18" ht="21" customHeight="1">
      <c r="A18" s="14" t="inlineStr">
        <is>
          <t>Корпоративные и групповые туры</t>
        </is>
      </c>
      <c r="B18" s="11" t="n">
        <v>0</v>
      </c>
      <c r="C18" s="14" t="inlineStr"/>
    </row>
    <row r="19">
      <c r="A19" s="15" t="inlineStr">
        <is>
          <t>Итого: ежемесячная выручка</t>
        </is>
      </c>
      <c r="B19" s="16">
        <f>SUM(B16:B18)</f>
        <v/>
      </c>
      <c r="C19" s="17" t="n"/>
    </row>
    <row r="20"/>
    <row r="21">
      <c r="A21" s="12" t="inlineStr">
        <is>
          <t>Ежемесячные операционные расходы</t>
        </is>
      </c>
      <c r="B21" s="13" t="n"/>
      <c r="C21" s="13" t="n"/>
    </row>
    <row r="22" ht="21" customHeight="1">
      <c r="A22" s="14" t="inlineStr">
        <is>
          <t>ФОТ персонала</t>
        </is>
      </c>
      <c r="B22" s="11" t="n">
        <v>0</v>
      </c>
      <c r="C22" s="14" t="inlineStr"/>
    </row>
    <row r="23" ht="21" customHeight="1">
      <c r="A23" s="14" t="inlineStr">
        <is>
          <t>Коммунальные услуги</t>
        </is>
      </c>
      <c r="B23" s="11" t="n">
        <v>0</v>
      </c>
      <c r="C23" s="14" t="inlineStr"/>
    </row>
    <row r="24" ht="21" customHeight="1">
      <c r="A24" s="14" t="inlineStr">
        <is>
          <t>Комиссии платформ бронирования</t>
        </is>
      </c>
      <c r="B24" s="11" t="n">
        <v>0</v>
      </c>
      <c r="C24" s="14" t="inlineStr"/>
    </row>
    <row r="25" ht="21" customHeight="1">
      <c r="A25" s="14" t="inlineStr">
        <is>
          <t>Закупки для питания/уборки</t>
        </is>
      </c>
      <c r="B25" s="11" t="n">
        <v>0</v>
      </c>
      <c r="C25" s="14" t="inlineStr"/>
    </row>
    <row r="26" ht="21" customHeight="1">
      <c r="A26" s="14" t="inlineStr">
        <is>
          <t>Маркетинг и реклама</t>
        </is>
      </c>
      <c r="B26" s="11" t="n">
        <v>0</v>
      </c>
      <c r="C26" s="14" t="inlineStr">
        <is>
          <t>включая продвижение на Booking.com/Airbnb</t>
        </is>
      </c>
    </row>
    <row r="27">
      <c r="A27" s="15" t="inlineStr">
        <is>
          <t>Итого: ежемесячные операционные расходы</t>
        </is>
      </c>
      <c r="B27" s="16">
        <f>SUM(B22:B26)</f>
        <v/>
      </c>
      <c r="C27" s="17" t="n"/>
    </row>
    <row r="28"/>
    <row r="29">
      <c r="A29" s="10" t="inlineStr">
        <is>
          <t>Ежемесячная прибыль</t>
        </is>
      </c>
      <c r="B29" s="11">
        <f>B19-B27</f>
        <v/>
      </c>
    </row>
    <row r="30"/>
    <row r="31">
      <c r="A31" s="10" t="inlineStr">
        <is>
          <t>Срок выхода на окупаемость, мес.</t>
        </is>
      </c>
      <c r="B31" s="14">
        <f>IFERROR(B4/B29,"—")</f>
        <v/>
      </c>
      <c r="C31" s="14">
        <f> Начальные инвестиции / Ежемесячная прибыль</f>
        <v/>
      </c>
    </row>
    <row r="32">
      <c r="A32" s="10" t="inlineStr">
        <is>
          <t>Рентабельность продаж, %</t>
        </is>
      </c>
      <c r="B32" s="18">
        <f>IFERROR(B29/B19*100,"—")</f>
        <v/>
      </c>
      <c r="C32" s="14">
        <f> Ежемесячная прибыль / Выручка × 100%</f>
        <v/>
      </c>
    </row>
    <row r="33"/>
    <row r="34" ht="40" customHeight="1">
      <c r="A34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2:C2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2026-09-10T09:42:57Z</dcterms:created>
  <dcterms:modified xmlns:dcterms="http://purl.org/dc/terms/" xmlns:xsi="http://www.w3.org/2001/XMLSchema-instance" xsi:type="dcterms:W3CDTF">2026-09-10T09:42:57Z</dcterms:modified>
</cp:coreProperties>
</file>