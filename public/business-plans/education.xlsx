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Финансовый 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b val="1"/>
      <color rgb="00FFFFFF"/>
      <sz val="12"/>
    </font>
    <font>
      <i val="1"/>
      <color rgb="0064748B"/>
    </font>
    <font>
      <b val="1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pivotButton="0" quotePrefix="0" xfId="0"/>
    <xf numFmtId="0" fontId="2" fillId="0" borderId="1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6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1" t="inlineStr">
        <is>
          <t>ФИНАНСОВЫЙ ПЛАН: ОБРАЗОВАНИЕ И EDTECH</t>
        </is>
      </c>
    </row>
    <row r="2" ht="45" customHeight="1">
      <c r="A2" s="2" t="inlineStr">
        <is>
          <t>Этот файл дополняет текстовый документ бизнес-плана MoliyaHub для отрасли «Образование и EdTech» (резюме, анализ рынка, маркетинговый/операционный/организационный план, риски — в Word-файле с тем же названием). Здесь — только расчётная часть с рабочими формулами.</t>
        </is>
      </c>
    </row>
    <row r="3"/>
    <row r="4">
      <c r="A4" s="3" t="inlineStr">
        <is>
          <t>Статья</t>
        </is>
      </c>
      <c r="B4" s="3" t="inlineStr">
        <is>
          <t>Сумма, сум</t>
        </is>
      </c>
      <c r="C4" s="3" t="inlineStr">
        <is>
          <t>Комментарий</t>
        </is>
      </c>
    </row>
    <row r="5" ht="30" customHeight="1">
      <c r="A5" s="4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6"/>
    <row r="7">
      <c r="A7" s="5" t="inlineStr">
        <is>
          <t>Начальные инвестиции (требуемая сумма)</t>
        </is>
      </c>
      <c r="B7" s="6" t="n">
        <v>0</v>
      </c>
    </row>
    <row r="8"/>
    <row r="9">
      <c r="A9" s="7" t="inlineStr">
        <is>
          <t>Стартовые затраты (единоразово)</t>
        </is>
      </c>
      <c r="B9" s="8" t="n"/>
      <c r="C9" s="8" t="n"/>
    </row>
    <row r="10" ht="21" customHeight="1">
      <c r="A10" s="9" t="inlineStr">
        <is>
          <t>Аренда помещения / разработка платформы</t>
        </is>
      </c>
      <c r="B10" s="6" t="n">
        <v>0</v>
      </c>
      <c r="C10" s="9" t="inlineStr">
        <is>
          <t>офлайн-центр или онлайн</t>
        </is>
      </c>
    </row>
    <row r="11" ht="21" customHeight="1">
      <c r="A11" s="9" t="inlineStr">
        <is>
          <t>Учебные материалы и лицензии на контент</t>
        </is>
      </c>
      <c r="B11" s="6" t="n">
        <v>0</v>
      </c>
      <c r="C11" s="9" t="inlineStr"/>
    </row>
    <row r="12" ht="21" customHeight="1">
      <c r="A12" s="9" t="inlineStr">
        <is>
          <t>Регистрация образовательной деятельности</t>
        </is>
      </c>
      <c r="B12" s="6" t="n">
        <v>0</v>
      </c>
      <c r="C12" s="9" t="inlineStr"/>
    </row>
    <row r="13" ht="21" customHeight="1">
      <c r="A13" s="9" t="inlineStr">
        <is>
          <t>Оборудование / IT-инфраструктура</t>
        </is>
      </c>
      <c r="B13" s="6" t="n">
        <v>0</v>
      </c>
      <c r="C13" s="9" t="inlineStr">
        <is>
          <t>студия для видеозаписи при онлайн-формате</t>
        </is>
      </c>
    </row>
    <row r="14" ht="21" customHeight="1">
      <c r="A14" s="9" t="inlineStr">
        <is>
          <t>Маркетинг запуска</t>
        </is>
      </c>
      <c r="B14" s="6" t="n">
        <v>0</v>
      </c>
      <c r="C14" s="9" t="inlineStr">
        <is>
          <t>бесплатные пробные уроки, реклама</t>
        </is>
      </c>
    </row>
    <row r="15">
      <c r="A15" s="10" t="inlineStr">
        <is>
          <t>Итого: стартовые затраты (единоразово)</t>
        </is>
      </c>
      <c r="B15" s="11">
        <f>SUM(B10:B14)</f>
        <v/>
      </c>
      <c r="C15" s="12" t="n"/>
    </row>
    <row r="16"/>
    <row r="17">
      <c r="A17" s="7" t="inlineStr">
        <is>
          <t>Ежемесячная выручка</t>
        </is>
      </c>
      <c r="B17" s="8" t="n"/>
      <c r="C17" s="8" t="n"/>
    </row>
    <row r="18" ht="21" customHeight="1">
      <c r="A18" s="9" t="inlineStr">
        <is>
          <t>Оплата курсов / абонементов слушателями</t>
        </is>
      </c>
      <c r="B18" s="6" t="n">
        <v>0</v>
      </c>
      <c r="C18" s="9" t="inlineStr"/>
    </row>
    <row r="19" ht="21" customHeight="1">
      <c r="A19" s="9" t="inlineStr">
        <is>
          <t>Корпоративное обучение</t>
        </is>
      </c>
      <c r="B19" s="6" t="n">
        <v>0</v>
      </c>
      <c r="C19" s="9" t="inlineStr">
        <is>
          <t>B2B-контракты</t>
        </is>
      </c>
    </row>
    <row r="20" ht="21" customHeight="1">
      <c r="A20" s="9" t="inlineStr">
        <is>
          <t>Продажа записанных курсов и материалов</t>
        </is>
      </c>
      <c r="B20" s="6" t="n">
        <v>0</v>
      </c>
      <c r="C20" s="9" t="inlineStr"/>
    </row>
    <row r="21" ht="21" customHeight="1">
      <c r="A21" s="9" t="inlineStr">
        <is>
          <t>Интенсивы и мастер-классы</t>
        </is>
      </c>
      <c r="B21" s="6" t="n">
        <v>0</v>
      </c>
      <c r="C21" s="9" t="inlineStr">
        <is>
          <t>разовые продукты с высоким чеком</t>
        </is>
      </c>
    </row>
    <row r="22">
      <c r="A22" s="10" t="inlineStr">
        <is>
          <t>Итого: ежемесячная выручка</t>
        </is>
      </c>
      <c r="B22" s="11">
        <f>SUM(B18:B21)</f>
        <v/>
      </c>
      <c r="C22" s="12" t="n"/>
    </row>
    <row r="23"/>
    <row r="24">
      <c r="A24" s="7" t="inlineStr">
        <is>
          <t>Ежемесячные операционные расходы</t>
        </is>
      </c>
      <c r="B24" s="8" t="n"/>
      <c r="C24" s="8" t="n"/>
    </row>
    <row r="25" ht="21" customHeight="1">
      <c r="A25" s="9" t="inlineStr">
        <is>
          <t>ФОТ преподавателей</t>
        </is>
      </c>
      <c r="B25" s="6" t="n">
        <v>0</v>
      </c>
      <c r="C25" s="9" t="inlineStr"/>
    </row>
    <row r="26" ht="21" customHeight="1">
      <c r="A26" s="9" t="inlineStr">
        <is>
          <t>Аренда / хостинг платформы</t>
        </is>
      </c>
      <c r="B26" s="6" t="n">
        <v>0</v>
      </c>
      <c r="C26" s="9" t="inlineStr"/>
    </row>
    <row r="27" ht="21" customHeight="1">
      <c r="A27" s="9" t="inlineStr">
        <is>
          <t>Разработка и обновление учебных материалов</t>
        </is>
      </c>
      <c r="B27" s="6" t="n">
        <v>0</v>
      </c>
      <c r="C27" s="9" t="inlineStr"/>
    </row>
    <row r="28" ht="21" customHeight="1">
      <c r="A28" s="9" t="inlineStr">
        <is>
          <t>Маркетинг и привлечение учеников</t>
        </is>
      </c>
      <c r="B28" s="6" t="n">
        <v>0</v>
      </c>
      <c r="C28" s="9" t="inlineStr"/>
    </row>
    <row r="29" ht="21" customHeight="1">
      <c r="A29" s="9" t="inlineStr">
        <is>
          <t>Административные расходы</t>
        </is>
      </c>
      <c r="B29" s="6" t="n">
        <v>0</v>
      </c>
      <c r="C29" s="9" t="inlineStr"/>
    </row>
    <row r="30">
      <c r="A30" s="10" t="inlineStr">
        <is>
          <t>Итого: ежемесячные операционные расходы</t>
        </is>
      </c>
      <c r="B30" s="11">
        <f>SUM(B25:B29)</f>
        <v/>
      </c>
      <c r="C30" s="12" t="n"/>
    </row>
    <row r="31"/>
    <row r="32">
      <c r="A32" s="5" t="inlineStr">
        <is>
          <t>Ежемесячная прибыль</t>
        </is>
      </c>
      <c r="B32" s="6">
        <f>B22-B30</f>
        <v/>
      </c>
    </row>
    <row r="33"/>
    <row r="34">
      <c r="A34" s="5" t="inlineStr">
        <is>
          <t>Срок выхода на окупаемость, мес.</t>
        </is>
      </c>
      <c r="B34" s="9">
        <f>IFERROR(B7/B32,"—")</f>
        <v/>
      </c>
      <c r="C34" s="9">
        <f> Начальные инвестиции / Ежемесячная прибыль</f>
        <v/>
      </c>
    </row>
    <row r="35">
      <c r="A35" s="5" t="inlineStr">
        <is>
          <t>Рентабельность продаж, %</t>
        </is>
      </c>
      <c r="B35" s="13">
        <f>IFERROR(B32/B22*100,"—")</f>
        <v/>
      </c>
      <c r="C35" s="9">
        <f> Ежемесячная прибыль / Выручка × 100%</f>
        <v/>
      </c>
    </row>
    <row r="36"/>
    <row r="37" ht="40" customHeight="1">
      <c r="A37" s="4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3">
    <mergeCell ref="A5:C5"/>
    <mergeCell ref="A37:C37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2026-09-10T10:08:12Z</dcterms:created>
  <dcterms:modified xmlns:dcterms="http://purl.org/dc/terms/" xmlns:xsi="http://www.w3.org/2001/XMLSchema-instance" xsi:type="dcterms:W3CDTF">2026-09-10T10:08:12Z</dcterms:modified>
</cp:coreProperties>
</file>