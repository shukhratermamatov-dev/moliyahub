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  <font>
      <i val="1"/>
      <color rgb="001D4ED8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ОБРАЗОВАНИЕ И EDTECH — ПРИМЕР РАСЧЁТА</t>
        </is>
      </c>
    </row>
    <row r="2" ht="65" customHeight="1">
      <c r="A2" s="2" t="inlineStr">
        <is>
          <t>Этот файл дополняет текстовый документ бизнес-плана MoliyaHub для отрасли «Образование и EdTech» (резюме, анализ рынка, маркетинговый/операционный/организационный план, риски — в Word-файле с тем же названием). Здесь — расчётная часть с рабочими формулами, уже заполненная цифрами ПРИМЕРА (иллюстративная компания из резюме бизнес-плана, не реальный заёмщик) — чтобы показать порядок величины и логику расчёта. Перед подачей в банк или инвестору замените суммы на данные своего проекта.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45" customHeight="1">
      <c r="A5" s="4" t="inlineStr">
        <is>
          <t>Столбец «Сумма, сум» уже заполнен примером расчёта для иллюстративной компании из этого бизнес-плана — на основе рыночных ориентиров 2025-2026 года (там, где источник известен — со ссылкой в комментарии) или экспертной оценки порядка величины (это тоже отмечено). Итоги, прибыль, срок окупаемости и рентабельность ниже пересчитаются автоматически (это формулы). Замените суммы в столбце B на данные вашего собственного проекта — тогда пересчитается всё.</t>
        </is>
      </c>
    </row>
    <row r="6"/>
    <row r="7">
      <c r="A7" s="5" t="inlineStr">
        <is>
          <t>Начальные инвестиции (требуемая сумма)</t>
        </is>
      </c>
      <c r="B7" s="6">
        <f>B15</f>
        <v/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51" customHeight="1">
      <c r="A10" s="9" t="inlineStr">
        <is>
          <t>Аренда помещения / разработка платформы</t>
        </is>
      </c>
      <c r="B10" s="6" t="n">
        <v>120000000</v>
      </c>
      <c r="C10" s="9" t="inlineStr">
        <is>
          <t>офлайн-центр или онлайн — Пример: оценка: офис/студия для съёмки уроков + разработка обучающей онлайн-платформы (LMS, личный кабинет)</t>
        </is>
      </c>
    </row>
    <row r="11" ht="36" customHeight="1">
      <c r="A11" s="9" t="inlineStr">
        <is>
          <t>Учебные материалы и лицензии на контент</t>
        </is>
      </c>
      <c r="B11" s="6" t="n">
        <v>60000000</v>
      </c>
      <c r="C11" s="9" t="inlineStr">
        <is>
          <t>Пример: оценка: разработка программ подготовки к межд. экзаменам, создание банка тестов</t>
        </is>
      </c>
    </row>
    <row r="12" ht="36" customHeight="1">
      <c r="A12" s="9" t="inlineStr">
        <is>
          <t>Регистрация образовательной деятельности</t>
        </is>
      </c>
      <c r="B12" s="6" t="n">
        <v>10000000</v>
      </c>
      <c r="C12" s="9" t="inlineStr">
        <is>
          <t>Пример: оценка: регистрация субъекта, лицензирование (при необходимости), разрешительная документация</t>
        </is>
      </c>
    </row>
    <row r="13" ht="51" customHeight="1">
      <c r="A13" s="9" t="inlineStr">
        <is>
          <t>Оборудование / IT-инфраструктура</t>
        </is>
      </c>
      <c r="B13" s="6" t="n">
        <v>90000000</v>
      </c>
      <c r="C13" s="9" t="inlineStr">
        <is>
          <t>студия для видеозаписи при онлайн-формате — Пример: оценка: компьютеры, камеры и свет для студии, интерактивная доска, хостинг видео</t>
        </is>
      </c>
    </row>
    <row r="14" ht="36" customHeight="1">
      <c r="A14" s="9" t="inlineStr">
        <is>
          <t>Маркетинг запуска</t>
        </is>
      </c>
      <c r="B14" s="6" t="n">
        <v>70000000</v>
      </c>
      <c r="C14" s="9" t="inlineStr">
        <is>
          <t>бесплатные пробные уроки, реклама — Пример: оценка: рекламные кампании в соцсетях/поиске для набора первых 300 учеников</t>
        </is>
      </c>
    </row>
    <row r="15">
      <c r="A15" s="10" t="inlineStr">
        <is>
          <t>Итого: стартовые затраты (единоразово)</t>
        </is>
      </c>
      <c r="B15" s="11">
        <f>SUM(B10:B14)</f>
        <v/>
      </c>
      <c r="C15" s="12" t="n"/>
    </row>
    <row r="16"/>
    <row r="17">
      <c r="A17" s="7" t="inlineStr">
        <is>
          <t>Ежемесячная выручка</t>
        </is>
      </c>
      <c r="B17" s="8" t="n"/>
      <c r="C17" s="8" t="n"/>
    </row>
    <row r="18" ht="51" customHeight="1">
      <c r="A18" s="9" t="inlineStr">
        <is>
          <t>Оплата курсов / абонементов слушателями</t>
        </is>
      </c>
      <c r="B18" s="6" t="n">
        <v>96000000</v>
      </c>
      <c r="C18" s="9" t="inlineStr">
        <is>
          <t>Пример: 300 учеников × ~320 тыс. сум/мес — оценка на основе диапазона цен профильных курсов в Ташкенте (офлайн IELTS/SAT от ~400-800 тыс. сум/мес)</t>
        </is>
      </c>
    </row>
    <row r="19" ht="36" customHeight="1">
      <c r="A19" s="9" t="inlineStr">
        <is>
          <t>Корпоративное обучение</t>
        </is>
      </c>
      <c r="B19" s="6" t="n">
        <v>6000000</v>
      </c>
      <c r="C19" s="9" t="inlineStr">
        <is>
          <t>B2B-контракты — Пример: оценка: партнёрства со школами/центрами на групповое обучение</t>
        </is>
      </c>
    </row>
    <row r="20" ht="36" customHeight="1">
      <c r="A20" s="9" t="inlineStr">
        <is>
          <t>Продажа записанных курсов и материалов</t>
        </is>
      </c>
      <c r="B20" s="6" t="n">
        <v>4000000</v>
      </c>
      <c r="C20" s="9" t="inlineStr">
        <is>
          <t>Пример: оценка: разовая продажа записанных модулей вне подписки</t>
        </is>
      </c>
    </row>
    <row r="21" ht="36" customHeight="1">
      <c r="A21" s="9" t="inlineStr">
        <is>
          <t>Интенсивы и мастер-классы</t>
        </is>
      </c>
      <c r="B21" s="6" t="n">
        <v>6000000</v>
      </c>
      <c r="C21" s="9" t="inlineStr">
        <is>
          <t>разовые продукты с высоким чеком — Пример: оценка: платные интенсивы выходного дня перед экзаменационными сессиями</t>
        </is>
      </c>
    </row>
    <row r="22">
      <c r="A22" s="10" t="inlineStr">
        <is>
          <t>Итого: ежемесячная выручка</t>
        </is>
      </c>
      <c r="B22" s="11">
        <f>SUM(B18:B21)</f>
        <v/>
      </c>
      <c r="C22" s="12" t="n"/>
    </row>
    <row r="23"/>
    <row r="24">
      <c r="A24" s="7" t="inlineStr">
        <is>
          <t>Ежемесячные операционные расходы</t>
        </is>
      </c>
      <c r="B24" s="8" t="n"/>
      <c r="C24" s="8" t="n"/>
    </row>
    <row r="25" ht="66" customHeight="1">
      <c r="A25" s="9" t="inlineStr">
        <is>
          <t>ФОТ преподавателей</t>
        </is>
      </c>
      <c r="B25" s="6" t="n">
        <v>35000000</v>
      </c>
      <c r="C25" s="9" t="inlineStr">
        <is>
          <t>Пример: 8-10 преподавателей part-time (~3,5 млн/чел. в среднем) + методист; ориентир — средняя зарплата по Ташкенту 10,38 млн сум (gazeta.uz, окт. 2025), пропорционально для part-time</t>
        </is>
      </c>
    </row>
    <row r="26" ht="36" customHeight="1">
      <c r="A26" s="9" t="inlineStr">
        <is>
          <t>Аренда / хостинг платформы</t>
        </is>
      </c>
      <c r="B26" s="6" t="n">
        <v>7000000</v>
      </c>
      <c r="C26" s="9" t="inlineStr">
        <is>
          <t>Пример: оценка: аренда небольшого офиса/студии + облачный хостинг видео и LMS</t>
        </is>
      </c>
    </row>
    <row r="27" ht="36" customHeight="1">
      <c r="A27" s="9" t="inlineStr">
        <is>
          <t>Разработка и обновление учебных материалов</t>
        </is>
      </c>
      <c r="B27" s="6" t="n">
        <v>8000000</v>
      </c>
      <c r="C27" s="9" t="inlineStr">
        <is>
          <t>Пример: оценка регулярного обновления тестов под актуальные форматы экзаменов</t>
        </is>
      </c>
    </row>
    <row r="28" ht="36" customHeight="1">
      <c r="A28" s="9" t="inlineStr">
        <is>
          <t>Маркетинг и привлечение учеников</t>
        </is>
      </c>
      <c r="B28" s="6" t="n">
        <v>22000000</v>
      </c>
      <c r="C28" s="9" t="inlineStr">
        <is>
          <t>Пример: оценка: таргетированная реклама — крупнейшая статья при высокой стоимости привлечения ученика в EdTech</t>
        </is>
      </c>
    </row>
    <row r="29" ht="36" customHeight="1">
      <c r="A29" s="9" t="inlineStr">
        <is>
          <t>Административные расходы</t>
        </is>
      </c>
      <c r="B29" s="6" t="n">
        <v>11000000</v>
      </c>
      <c r="C29" s="9" t="inlineStr">
        <is>
          <t>Пример: оценка: бухгалтерия, поддержка учеников, эквайринг, офисные расходы</t>
        </is>
      </c>
    </row>
    <row r="30">
      <c r="A30" s="10" t="inlineStr">
        <is>
          <t>Итого: ежемесячные операционные расходы</t>
        </is>
      </c>
      <c r="B30" s="11">
        <f>SUM(B25:B29)</f>
        <v/>
      </c>
      <c r="C30" s="12" t="n"/>
    </row>
    <row r="31"/>
    <row r="32">
      <c r="A32" s="5" t="inlineStr">
        <is>
          <t>Ежемесячная прибыль</t>
        </is>
      </c>
      <c r="B32" s="6">
        <f>B22-B30</f>
        <v/>
      </c>
    </row>
    <row r="33"/>
    <row r="34">
      <c r="A34" s="5" t="inlineStr">
        <is>
          <t>Срок выхода на окупаемость, мес.</t>
        </is>
      </c>
      <c r="B34" s="9">
        <f>IFERROR(B7/B32,"—")</f>
        <v/>
      </c>
      <c r="C34" s="9" t="inlineStr">
        <is>
          <t>Формула: Начальные инвестиции ÷ Ежемесячная прибыль</t>
        </is>
      </c>
    </row>
    <row r="35">
      <c r="A35" s="5" t="inlineStr">
        <is>
          <t>Рентабельность продаж, %</t>
        </is>
      </c>
      <c r="B35" s="13">
        <f>IFERROR(B32/B22*100,"—")</f>
        <v/>
      </c>
      <c r="C35" s="9" t="inlineStr">
        <is>
          <t>Формула: Ежемесячная прибыль ÷ Выручка × 100%</t>
        </is>
      </c>
    </row>
    <row r="36"/>
    <row r="37" ht="50" customHeight="1">
      <c r="A37" s="14" t="inlineStr">
        <is>
          <t>Как считался этот пример: Сумма стартовых затрат — 350 млн сум, точно соответствует резюме. Прибыль ≈29 млн сум/мес даёт окупаемость ≈12,1 мес. — соответствует заявленным ~12 мес.</t>
        </is>
      </c>
    </row>
    <row r="38"/>
    <row r="39" ht="55" customHeight="1">
      <c r="A39" s="4" t="inlineStr">
        <is>
          <t>Это пример расчёта для иллюстративной компании, а не готовая заявка на кредит и не проверенные рыночные данные о реальном бизнесе. Суммы в столбце B — рабочие формулы: замените их на цифры вашего проекта, и итоги, прибыль, срок окупаемости и рентабельность пересчитаются автоматически. Там, где в комментарии указан источник — это ориентир на 2025-2026 год, проверяйте актуальность перед подачей документов в банк; где указана «экспертная оценка» — это иллюстрация порядка величины, а не факт.</t>
        </is>
      </c>
    </row>
  </sheetData>
  <mergeCells count="4">
    <mergeCell ref="A5:C5"/>
    <mergeCell ref="A37:C37"/>
    <mergeCell ref="A2:C2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2026-09-12T07:41:32Z</dcterms:created>
  <dcterms:modified xmlns:dcterms="http://purl.org/dc/terms/" xmlns:xsi="http://www.w3.org/2001/XMLSchema-instance" xsi:type="dcterms:W3CDTF">2026-09-12T07:41:32Z</dcterms:modified>
</cp:coreProperties>
</file>