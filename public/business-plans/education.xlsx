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ОБРАЗОВАНИЕ И EDTECH</t>
        </is>
      </c>
    </row>
    <row r="2">
      <c r="A2" s="2" t="inlineStr">
        <is>
          <t>Пример: образовательный центр или онлайн-школа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«Образование и EdTech».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Онлайн-школа «SmartAvlod» готовит школьников 9-11 классов к международным экзаменам по математике и английскому языку в формате коротких видеокурсов и живых групповых занятий. Требуемые инвестиции — 350 млн сум на разработку платформы и первых курсов; окупаемость — около 12 месяцев при наборе 300 учеников на платные тарифы.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Образование и EdTech</t>
        </is>
      </c>
    </row>
    <row r="2" ht="44" customHeight="1">
      <c r="A2" s="4" t="inlineStr">
        <is>
          <t>•  Растёт спрос на дополнительное образование и повышение квалификации в Узбекистане — особенно IT, языки, подготовка к экзаменам и поступлению за рубеж.</t>
        </is>
      </c>
    </row>
    <row r="3" ht="89" customHeight="1">
      <c r="A3" s="4" t="inlineStr">
        <is>
          <t>•  Рынок EdTech растёт быстрыми темпами: по данным отраслевого обзора, топ-35 edtech-компаний Узбекистана заработали в 2024 году 118 млрд сум (рост на 94% год к году), а весь рынок онлайн-образования оценивался не менее чем в 126 млрд сум; сегмент детского онлайн-образования вырос на рекордные +1095% год к году (edtechs.ru) — рынок ещё далёк от насыщения, но и привлекает много новых игроков, включая компании из России и Казахстана.</t>
        </is>
      </c>
    </row>
    <row r="4" ht="44" customHeight="1">
      <c r="A4" s="4" t="inlineStr">
        <is>
          <t>•  Государство поддерживает цифровизацию образования и развитие частных образовательных инициатив, включая упрощение лицензирования частных школ и курсов.</t>
        </is>
      </c>
    </row>
    <row r="5" ht="59" customHeight="1">
      <c r="A5" s="4" t="inlineStr">
        <is>
          <t>•  Конкуренция со стороны международных онлайн-платформ (Coursera, Skillbox, Яндекс.Практикум и др.) требует чёткой локализации контента (на узбекском и русском языках) и практической пользы под местный рынок труда, а не просто перевода зарубежных программ.</t>
        </is>
      </c>
    </row>
    <row r="6" ht="74" customHeight="1">
      <c r="A6" s="4" t="inlineStr">
        <is>
          <t>•  Для сравнения: рынки России и Казахстана в EdTech более зрелые и консолидированные вокруг нескольких крупных платформ — узбекские предприниматели чаще выигрывают через локальную специализацию (подготовка к местным экзаменам, дефицитные языки/навыки), а не через прямую конкуренцию с крупными международными брендами по охвату.</t>
        </is>
      </c>
    </row>
    <row r="7" ht="44" customHeight="1">
      <c r="A7" s="4" t="inlineStr">
        <is>
          <t>•  [Впишите] Целевую аудиторию и её платёжеспособность, конкурентов в выбранном направлении — уточняйте прямым опросом целевой аудитории и анализом конкурентных курсов/центров.</t>
        </is>
      </c>
    </row>
    <row r="9">
      <c r="A9" s="5" t="inlineStr">
        <is>
          <t>Конкуренты</t>
        </is>
      </c>
    </row>
    <row r="10" ht="45" customHeight="1">
      <c r="A10" s="4" t="inlineStr">
        <is>
          <t>[Впишите] Список из 3-5 прямых конкурентов, их сильные и слабые стороны, чем вы отличаетесь.</t>
        </is>
      </c>
    </row>
    <row r="11">
      <c r="A11" s="5" t="inlineStr">
        <is>
          <t>Целевая аудитория</t>
        </is>
      </c>
    </row>
    <row r="12" ht="45" customHeight="1">
      <c r="A12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8">
    <mergeCell ref="A5:D5"/>
    <mergeCell ref="A6:D6"/>
    <mergeCell ref="A12:D12"/>
    <mergeCell ref="A4:D4"/>
    <mergeCell ref="A3:D3"/>
    <mergeCell ref="A7:D7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74" customHeight="1">
      <c r="A2" s="6" t="inlineStr">
        <is>
          <t>ПРИМЕР (иллюстрация, не данные реальной компании): Цена — абонентская плата за месяц доступа с более дешёвым пакетом при оплате за семестр; продвижение — бесплатные пробные уроки и полезный контент в Telegram/Instagram, реферальная программа для действующих учеников, партнёрство с 2-3 школами на пилотные группы.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74" customHeight="1">
      <c r="A5" s="6" t="inlineStr">
        <is>
          <t>ПРИМЕР (иллюстрация, не данные реальной компании): Цикл: запись на пробный урок → зачисление в группу → занятия по расписанию (запись + живые сессии) → промежуточное тестирование → аттестация в конце курса. Ключевая инфраструктура — платформа для видеоуроков, система учёта учеников и оплат. Требуется регистрация образовательной деятельности.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Директор-методист, 3 преподавателя на part-time, менеджер по работе с учениками и родителями, разработчик платформы на аутсорсе. Форма — ООО с лицензией на образовательную деятельность.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59" customHeight="1">
      <c r="A13" s="4" t="inlineStr">
        <is>
          <t>Конкуренция с бесплатным/международным контентом (YouTube, зарубежные платформы)</t>
        </is>
      </c>
      <c r="C13" s="4" t="inlineStr">
        <is>
          <t>Фокус на локализацию, практическую пользу под местные экзамены/рынок труда, живое сопровождение учеников</t>
        </is>
      </c>
    </row>
    <row r="14" ht="44" customHeight="1">
      <c r="A14" s="4" t="inlineStr">
        <is>
          <t>Отток преподавателей к конкурентам или на индивидуальное репетиторство</t>
        </is>
      </c>
      <c r="C14" s="4" t="inlineStr">
        <is>
          <t>Система мотивации, доля от повторных продлений, профессиональное развитие</t>
        </is>
      </c>
    </row>
    <row r="15" ht="44" customHeight="1">
      <c r="A15" s="4" t="inlineStr">
        <is>
          <t>Изменение спроса по направлениям обучения</t>
        </is>
      </c>
      <c r="C15" s="4" t="inlineStr">
        <is>
          <t>Регулярное обновление программы, пилотирование новых направлений на небольших группах</t>
        </is>
      </c>
    </row>
    <row r="16" ht="59" customHeight="1">
      <c r="A16" s="4" t="inlineStr">
        <is>
          <t>Низкое завершение курсов учениками (отток на середине программы)</t>
        </is>
      </c>
      <c r="C16" s="4" t="inlineStr">
        <is>
          <t>Геймификация, регулярная обратная связь и поддержка, промежуточные результаты для мотивации</t>
        </is>
      </c>
    </row>
    <row r="17" ht="44" customHeight="1">
      <c r="A17" s="4" t="inlineStr">
        <is>
          <t>Сезонность спроса (спад летом, пик перед экзаменами/учебным годом)</t>
        </is>
      </c>
      <c r="C17" s="4" t="inlineStr">
        <is>
          <t>Специальные летние интенсивы и лагеря, гибкие тарифы под сезон</t>
        </is>
      </c>
    </row>
    <row r="18" ht="44" customHeight="1">
      <c r="A18" s="4" t="inlineStr">
        <is>
          <t>Регуляторные требования к образовательной деятельности и защите данных детей</t>
        </is>
      </c>
      <c r="C18" s="4" t="inlineStr">
        <is>
          <t>Своевременное лицензирование, политика защиты персональных данных учеников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Аренда помещения / разработка платформы</t>
        </is>
      </c>
      <c r="B7" s="11" t="n">
        <v>0</v>
      </c>
      <c r="C7" s="14" t="inlineStr">
        <is>
          <t>офлайн-центр или онлайн</t>
        </is>
      </c>
    </row>
    <row r="8" ht="21" customHeight="1">
      <c r="A8" s="14" t="inlineStr">
        <is>
          <t>Учебные материалы и лицензии на контент</t>
        </is>
      </c>
      <c r="B8" s="11" t="n">
        <v>0</v>
      </c>
      <c r="C8" s="14" t="inlineStr"/>
    </row>
    <row r="9" ht="21" customHeight="1">
      <c r="A9" s="14" t="inlineStr">
        <is>
          <t>Регистрация образовательной деятельности</t>
        </is>
      </c>
      <c r="B9" s="11" t="n">
        <v>0</v>
      </c>
      <c r="C9" s="14" t="inlineStr"/>
    </row>
    <row r="10" ht="21" customHeight="1">
      <c r="A10" s="14" t="inlineStr">
        <is>
          <t>Оборудование / IT-инфраструктура</t>
        </is>
      </c>
      <c r="B10" s="11" t="n">
        <v>0</v>
      </c>
      <c r="C10" s="14" t="inlineStr">
        <is>
          <t>студия для видеозаписи при онлайн-формате</t>
        </is>
      </c>
    </row>
    <row r="11" ht="21" customHeight="1">
      <c r="A11" s="14" t="inlineStr">
        <is>
          <t>Маркетинг запуска</t>
        </is>
      </c>
      <c r="B11" s="11" t="n">
        <v>0</v>
      </c>
      <c r="C11" s="14" t="inlineStr">
        <is>
          <t>бесплатные пробные уроки, реклама</t>
        </is>
      </c>
    </row>
    <row r="12">
      <c r="A12" s="15" t="inlineStr">
        <is>
          <t>Итого: стартовые затраты (единоразово)</t>
        </is>
      </c>
      <c r="B12" s="16">
        <f>SUM(B7:B11)</f>
        <v/>
      </c>
      <c r="C12" s="17" t="n"/>
    </row>
    <row r="13"/>
    <row r="14">
      <c r="A14" s="12" t="inlineStr">
        <is>
          <t>Ежемесячная выручка</t>
        </is>
      </c>
      <c r="B14" s="13" t="n"/>
      <c r="C14" s="13" t="n"/>
    </row>
    <row r="15" ht="21" customHeight="1">
      <c r="A15" s="14" t="inlineStr">
        <is>
          <t>Оплата курсов / абонементов слушателями</t>
        </is>
      </c>
      <c r="B15" s="11" t="n">
        <v>0</v>
      </c>
      <c r="C15" s="14" t="inlineStr"/>
    </row>
    <row r="16" ht="21" customHeight="1">
      <c r="A16" s="14" t="inlineStr">
        <is>
          <t>Корпоративное обучение</t>
        </is>
      </c>
      <c r="B16" s="11" t="n">
        <v>0</v>
      </c>
      <c r="C16" s="14" t="inlineStr">
        <is>
          <t>B2B-контракты</t>
        </is>
      </c>
    </row>
    <row r="17" ht="21" customHeight="1">
      <c r="A17" s="14" t="inlineStr">
        <is>
          <t>Продажа записанных курсов и материалов</t>
        </is>
      </c>
      <c r="B17" s="11" t="n">
        <v>0</v>
      </c>
      <c r="C17" s="14" t="inlineStr"/>
    </row>
    <row r="18" ht="21" customHeight="1">
      <c r="A18" s="14" t="inlineStr">
        <is>
          <t>Интенсивы и мастер-классы</t>
        </is>
      </c>
      <c r="B18" s="11" t="n">
        <v>0</v>
      </c>
      <c r="C18" s="14" t="inlineStr">
        <is>
          <t>разовые продукты с высоким чеком</t>
        </is>
      </c>
    </row>
    <row r="19">
      <c r="A19" s="15" t="inlineStr">
        <is>
          <t>Итого: ежемесячная выручка</t>
        </is>
      </c>
      <c r="B19" s="16">
        <f>SUM(B15:B18)</f>
        <v/>
      </c>
      <c r="C19" s="17" t="n"/>
    </row>
    <row r="20"/>
    <row r="21">
      <c r="A21" s="12" t="inlineStr">
        <is>
          <t>Ежемесячные операционные расходы</t>
        </is>
      </c>
      <c r="B21" s="13" t="n"/>
      <c r="C21" s="13" t="n"/>
    </row>
    <row r="22" ht="21" customHeight="1">
      <c r="A22" s="14" t="inlineStr">
        <is>
          <t>ФОТ преподавателей</t>
        </is>
      </c>
      <c r="B22" s="11" t="n">
        <v>0</v>
      </c>
      <c r="C22" s="14" t="inlineStr"/>
    </row>
    <row r="23" ht="21" customHeight="1">
      <c r="A23" s="14" t="inlineStr">
        <is>
          <t>Аренда / хостинг платформы</t>
        </is>
      </c>
      <c r="B23" s="11" t="n">
        <v>0</v>
      </c>
      <c r="C23" s="14" t="inlineStr"/>
    </row>
    <row r="24" ht="21" customHeight="1">
      <c r="A24" s="14" t="inlineStr">
        <is>
          <t>Разработка и обновление учебных материалов</t>
        </is>
      </c>
      <c r="B24" s="11" t="n">
        <v>0</v>
      </c>
      <c r="C24" s="14" t="inlineStr"/>
    </row>
    <row r="25" ht="21" customHeight="1">
      <c r="A25" s="14" t="inlineStr">
        <is>
          <t>Маркетинг и привлечение учеников</t>
        </is>
      </c>
      <c r="B25" s="11" t="n">
        <v>0</v>
      </c>
      <c r="C25" s="14" t="inlineStr"/>
    </row>
    <row r="26" ht="21" customHeight="1">
      <c r="A26" s="14" t="inlineStr">
        <is>
          <t>Административные расходы</t>
        </is>
      </c>
      <c r="B26" s="11" t="n">
        <v>0</v>
      </c>
      <c r="C26" s="14" t="inlineStr"/>
    </row>
    <row r="27">
      <c r="A27" s="15" t="inlineStr">
        <is>
          <t>Итого: ежемесячные операционные расходы</t>
        </is>
      </c>
      <c r="B27" s="16">
        <f>SUM(B22:B26)</f>
        <v/>
      </c>
      <c r="C27" s="17" t="n"/>
    </row>
    <row r="28"/>
    <row r="29">
      <c r="A29" s="10" t="inlineStr">
        <is>
          <t>Ежемесячная прибыль</t>
        </is>
      </c>
      <c r="B29" s="11">
        <f>B19-B27</f>
        <v/>
      </c>
    </row>
    <row r="30"/>
    <row r="31">
      <c r="A31" s="10" t="inlineStr">
        <is>
          <t>Срок выхода на окупаемость, мес.</t>
        </is>
      </c>
      <c r="B31" s="14">
        <f>IFERROR(B4/B29,"—")</f>
        <v/>
      </c>
      <c r="C31" s="14">
        <f> Начальные инвестиции / Ежемесячная прибыль</f>
        <v/>
      </c>
    </row>
    <row r="32">
      <c r="A32" s="10" t="inlineStr">
        <is>
          <t>Рентабельность продаж, %</t>
        </is>
      </c>
      <c r="B32" s="18">
        <f>IFERROR(B29/B19*100,"—")</f>
        <v/>
      </c>
      <c r="C32" s="14">
        <f> Ежемесячная прибыль / Выручка × 100%</f>
        <v/>
      </c>
    </row>
    <row r="33"/>
    <row r="34" ht="40" customHeight="1">
      <c r="A34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2:C2"/>
    <mergeCell ref="A34:C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2026-09-10T09:42:57Z</dcterms:created>
  <dcterms:modified xmlns:dcterms="http://purl.org/dc/terms/" xmlns:xsi="http://www.w3.org/2001/XMLSchema-instance" xsi:type="dcterms:W3CDTF">2026-09-10T09:42:57Z</dcterms:modified>
</cp:coreProperties>
</file>