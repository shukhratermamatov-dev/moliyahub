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  <font>
      <i val="1"/>
      <color rgb="001D4ED8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ЗДРАВООХРАНЕНИЕ И СОЦИАЛЬНЫЕ УСЛУГИ — ПРИМЕР РАСЧЁТА</t>
        </is>
      </c>
    </row>
    <row r="2" ht="65" customHeight="1">
      <c r="A2" s="2" t="inlineStr">
        <is>
          <t>Этот файл дополняет текстовый документ бизнес-плана MoliyaHub для отрасли «Здравоохранение и социальные услуги» (резюме, анализ рынка, маркетинговый/операционный/организационный план, риски — в Word-файле с тем же названием). Здесь — расчётная часть с рабочими формулами, уже заполненная цифрами ПРИМЕРА (иллюстративная компания из резюме бизнес-плана, не реальный заёмщик) — чтобы показать порядок величины и логику расчёта. Перед подачей в банк или инвестору замените суммы на данные своего проекта.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45" customHeight="1">
      <c r="A5" s="4" t="inlineStr">
        <is>
          <t>Столбец «Сумма, сум» уже заполнен примером расчёта для иллюстративной компании из этого бизнес-плана — на основе рыночных ориентиров 2025-2026 года (там, где источник известен — со ссылкой в комментарии) или экспертной оценки порядка величины (это тоже отмечено). Итоги, прибыль, срок окупаемости и рентабельность ниже пересчитаются автоматически (это формулы). Замените суммы в столбце B на данные вашего собственного проекта — тогда пересчитается всё.</t>
        </is>
      </c>
    </row>
    <row r="6"/>
    <row r="7">
      <c r="A7" s="5" t="inlineStr">
        <is>
          <t>Начальные инвестиции (требуемая сумма)</t>
        </is>
      </c>
      <c r="B7" s="6">
        <f>B16</f>
        <v/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36" customHeight="1">
      <c r="A10" s="9" t="inlineStr">
        <is>
          <t>Ремонт и оснащение помещения под мед. стандарты</t>
        </is>
      </c>
      <c r="B10" s="6" t="n">
        <v>850000000</v>
      </c>
      <c r="C10" s="9" t="inlineStr">
        <is>
          <t>Пример: оценка: ~550 м² в спальном районе Ташкента, капремонт под сан.-эпид. нормы (вентиляция, спецпокрытия, электрика)</t>
        </is>
      </c>
    </row>
    <row r="11" ht="66" customHeight="1">
      <c r="A11" s="9" t="inlineStr">
        <is>
          <t>Медицинское оборудование</t>
        </is>
      </c>
      <c r="B11" s="6" t="n">
        <v>900000000</v>
      </c>
      <c r="C11" s="9" t="inlineStr">
        <is>
          <t>Пример: УЗИ-аппарат среднего/экспертного класса (Mindray/SonoScape) ~320-380 млн сум (~25-30 тыс.$) + ЭКГ, экспресс-лаборатория, мебель 4 кабинетов — оценка по ценам дилеров СНГ, точных цен по РУз не найдено</t>
        </is>
      </c>
    </row>
    <row r="12" ht="36" customHeight="1">
      <c r="A12" s="9" t="inlineStr">
        <is>
          <t>Лицензирование медицинской деятельности</t>
        </is>
      </c>
      <c r="B12" s="6" t="n">
        <v>60000000</v>
      </c>
      <c r="C12" s="9" t="inlineStr">
        <is>
          <t>Пример: оценка: госпошлины, сан.-эпид. экспертиза, лицензия Минздрава, аккредитация специалистов</t>
        </is>
      </c>
    </row>
    <row r="13" ht="36" customHeight="1">
      <c r="A13" s="9" t="inlineStr">
        <is>
          <t>Найм квалифицированного персонала</t>
        </is>
      </c>
      <c r="B13" s="6" t="n">
        <v>400000000</v>
      </c>
      <c r="C13" s="9" t="inlineStr">
        <is>
          <t>Пример: оценка: подбор, обучение и аттестация персонала + буферный ФОТ на период запуска до плановой загрузки</t>
        </is>
      </c>
    </row>
    <row r="14" ht="36" customHeight="1">
      <c r="A14" s="9" t="inlineStr">
        <is>
          <t>IT-система учёта пациентов</t>
        </is>
      </c>
      <c r="B14" s="6" t="n">
        <v>90000000</v>
      </c>
      <c r="C14" s="9" t="inlineStr">
        <is>
          <t>Пример: оценка: медицинская информационная система (МИС), компьютеры на ресепшене и в кабинетах</t>
        </is>
      </c>
    </row>
    <row r="15" ht="36" customHeight="1">
      <c r="A15" s="9" t="inlineStr">
        <is>
          <t>Страхование профессиональной ответственности</t>
        </is>
      </c>
      <c r="B15" s="6" t="n">
        <v>100000000</v>
      </c>
      <c r="C15" s="9" t="inlineStr">
        <is>
          <t>часто требуется на этапе лицензирования — Пример: годовая премия, уплаченная авансом при запуске — оценка</t>
        </is>
      </c>
    </row>
    <row r="16">
      <c r="A16" s="10" t="inlineStr">
        <is>
          <t>Итого: стартовые затраты (единоразово)</t>
        </is>
      </c>
      <c r="B16" s="11">
        <f>SUM(B10:B15)</f>
        <v/>
      </c>
      <c r="C16" s="12" t="n"/>
    </row>
    <row r="17"/>
    <row r="18">
      <c r="A18" s="7" t="inlineStr">
        <is>
          <t>Ежемесячная выручка</t>
        </is>
      </c>
      <c r="B18" s="8" t="n"/>
      <c r="C18" s="8" t="n"/>
    </row>
    <row r="19" ht="66" customHeight="1">
      <c r="A19" s="9" t="inlineStr">
        <is>
          <t>Приём и консультации</t>
        </is>
      </c>
      <c r="B19" s="6" t="n">
        <v>126000000</v>
      </c>
      <c r="C19" s="9" t="inlineStr">
        <is>
          <t>Пример: ~700 приёмов/мес (из ~1040 при 40/день, 26 раб. дн.) × ~180 тыс. сум — на основе прайс-листа частных клиник Ташкента (терапевт/невролог/кардиолог 200 тыс., гинеколог 250 тыс.)</t>
        </is>
      </c>
    </row>
    <row r="20" ht="51" customHeight="1">
      <c r="A20" s="9" t="inlineStr">
        <is>
          <t>Диагностические услуги</t>
        </is>
      </c>
      <c r="B20" s="6" t="n">
        <v>51000000</v>
      </c>
      <c r="C20" s="9" t="inlineStr">
        <is>
          <t>Пример: ~320 процедур/мес × ~160 тыс. сум — УЗИ брюшной полости 280 тыс., УЗИ органов 120-150 тыс., по прайс-листам частных клиник</t>
        </is>
      </c>
    </row>
    <row r="21" ht="51" customHeight="1">
      <c r="A21" s="9" t="inlineStr">
        <is>
          <t>Программы / абонементы</t>
        </is>
      </c>
      <c r="B21" s="6" t="n">
        <v>60000000</v>
      </c>
      <c r="C21" s="9" t="inlineStr">
        <is>
          <t>чек-апы, ведение хронических пациентов — Пример: оценка: комплексные чек-апы и годовые программы диспансерного наблюдения</t>
        </is>
      </c>
    </row>
    <row r="22" ht="51" customHeight="1">
      <c r="A22" s="9" t="inlineStr">
        <is>
          <t>Корпоративные программы для работодателей</t>
        </is>
      </c>
      <c r="B22" s="6" t="n">
        <v>48000000</v>
      </c>
      <c r="C22" s="9" t="inlineStr">
        <is>
          <t>профилактические осмотры сотрудников — Пример: оценка: 2-3 контракта с компаниями на периодические медосмотры сотрудников</t>
        </is>
      </c>
    </row>
    <row r="23">
      <c r="A23" s="10" t="inlineStr">
        <is>
          <t>Итого: ежемесячная выручка</t>
        </is>
      </c>
      <c r="B23" s="11">
        <f>SUM(B19:B22)</f>
        <v/>
      </c>
      <c r="C23" s="12" t="n"/>
    </row>
    <row r="24"/>
    <row r="25">
      <c r="A25" s="7" t="inlineStr">
        <is>
          <t>Ежемесячные операционные расходы</t>
        </is>
      </c>
      <c r="B25" s="8" t="n"/>
      <c r="C25" s="8" t="n"/>
    </row>
    <row r="26" ht="81" customHeight="1">
      <c r="A26" s="9" t="inlineStr">
        <is>
          <t>ФОТ врачей и мед. персонала</t>
        </is>
      </c>
      <c r="B26" s="6" t="n">
        <v>78000000</v>
      </c>
      <c r="C26" s="9" t="inlineStr">
        <is>
          <t>Пример: главврач-совладелец 15 млн + 4 врача по 10 млн + 2 медсестры по 5 млн + администратор 4,5 млн + ЕСП ~12%; ориентир — зарплата врача в вакансиях Ташкента ~6,9 млн сум (tashkent.gorodrabot.uz), для частной клиники заложено выше среднего</t>
        </is>
      </c>
    </row>
    <row r="27" ht="36" customHeight="1">
      <c r="A27" s="9" t="inlineStr">
        <is>
          <t>Расходные материалы и медикаменты</t>
        </is>
      </c>
      <c r="B27" s="6" t="n">
        <v>18000000</v>
      </c>
      <c r="C27" s="9" t="inlineStr">
        <is>
          <t>Пример: оценка: гель для УЗИ, расходники, медикаменты — ~6-7% от выручки</t>
        </is>
      </c>
    </row>
    <row r="28" ht="36" customHeight="1">
      <c r="A28" s="9" t="inlineStr">
        <is>
          <t>Обслуживание оборудования</t>
        </is>
      </c>
      <c r="B28" s="6" t="n">
        <v>7000000</v>
      </c>
      <c r="C28" s="9" t="inlineStr">
        <is>
          <t>Пример: оценка: сервисный контракт на УЗИ-аппарат и прочее оборудование, ~1% от стоимости в месяц</t>
        </is>
      </c>
    </row>
    <row r="29" ht="51" customHeight="1">
      <c r="A29" s="9" t="inlineStr">
        <is>
          <t>Аренда и коммунальные услуги</t>
        </is>
      </c>
      <c r="B29" s="6" t="n">
        <v>95000000</v>
      </c>
      <c r="C29" s="9" t="inlineStr">
        <is>
          <t>Пример: оценка: ~550 м² в спальном районе Ташкента, ~12-15$/м²/мес (для сравнения офисы класса B — 26,4$/м², CMWP/spot.uz) + коммунальные</t>
        </is>
      </c>
    </row>
    <row r="30" ht="36" customHeight="1">
      <c r="A30" s="9" t="inlineStr">
        <is>
          <t>Страхование профессиональной ответственности</t>
        </is>
      </c>
      <c r="B30" s="6" t="n">
        <v>8500000</v>
      </c>
      <c r="C30" s="9" t="inlineStr">
        <is>
          <t>Пример: ежемесячный эквивалент годовой премии (~100 млн сум/год)</t>
        </is>
      </c>
    </row>
    <row r="31">
      <c r="A31" s="10" t="inlineStr">
        <is>
          <t>Итого: ежемесячные операционные расходы</t>
        </is>
      </c>
      <c r="B31" s="11">
        <f>SUM(B26:B30)</f>
        <v/>
      </c>
      <c r="C31" s="12" t="n"/>
    </row>
    <row r="32"/>
    <row r="33">
      <c r="A33" s="5" t="inlineStr">
        <is>
          <t>Ежемесячная прибыль</t>
        </is>
      </c>
      <c r="B33" s="6">
        <f>B23-B31</f>
        <v/>
      </c>
    </row>
    <row r="34"/>
    <row r="35">
      <c r="A35" s="5" t="inlineStr">
        <is>
          <t>Срок выхода на окупаемость, мес.</t>
        </is>
      </c>
      <c r="B35" s="9">
        <f>IFERROR(B7/B33,"—")</f>
        <v/>
      </c>
      <c r="C35" s="9" t="inlineStr">
        <is>
          <t>Формула: Начальные инвестиции ÷ Ежемесячная прибыль</t>
        </is>
      </c>
    </row>
    <row r="36">
      <c r="A36" s="5" t="inlineStr">
        <is>
          <t>Рентабельность продаж, %</t>
        </is>
      </c>
      <c r="B36" s="13">
        <f>IFERROR(B33/B23*100,"—")</f>
        <v/>
      </c>
      <c r="C36" s="9" t="inlineStr">
        <is>
          <t>Формула: Ежемесячная прибыль ÷ Выручка × 100%</t>
        </is>
      </c>
    </row>
    <row r="37"/>
    <row r="38" ht="80" customHeight="1">
      <c r="A38" s="14" t="inlineStr">
        <is>
          <t>Как считался этот пример: Инвестиции 2,4 млрд сум складываются из ремонта, оборудования (вкл. УЗИ), лицензирования, найма и буферного ФОТ, IT-системы и страхования. При выходе на полную загрузку 40 приёмов/день прибыль ≈78,5 млн сум/мес даёт окупаемость ≈30,6 мес. — совпадает с заявленным ориентиром ~30 мес. (в первые месяцы после открытия загрузка ниже целевой).</t>
        </is>
      </c>
    </row>
    <row r="39"/>
    <row r="40" ht="55" customHeight="1">
      <c r="A40" s="4" t="inlineStr">
        <is>
          <t>Это пример расчёта для иллюстративной компании, а не готовая заявка на кредит и не проверенные рыночные данные о реальном бизнесе. Суммы в столбце B — рабочие формулы: замените их на цифры вашего проекта, и итоги, прибыль, срок окупаемости и рентабельность пересчитаются автоматически. Там, где в комментарии указан источник — это ориентир на 2025-2026 год, проверяйте актуальность перед подачей документов в банк; где указана «экспертная оценка» — это иллюстрация порядка величины, а не факт.</t>
        </is>
      </c>
    </row>
  </sheetData>
  <mergeCells count="4">
    <mergeCell ref="A5:C5"/>
    <mergeCell ref="A38:C38"/>
    <mergeCell ref="A2:C2"/>
    <mergeCell ref="A40:C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2026-09-12T07:41:32Z</dcterms:created>
  <dcterms:modified xmlns:dcterms="http://purl.org/dc/terms/" xmlns:xsi="http://www.w3.org/2001/XMLSchema-instance" xsi:type="dcterms:W3CDTF">2026-09-12T07:41:32Z</dcterms:modified>
</cp:coreProperties>
</file>