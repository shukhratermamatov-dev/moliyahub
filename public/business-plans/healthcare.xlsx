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ЗДРАВООХРАНЕНИЕ И СОЦИАЛЬНЫЕ УСЛУГИ</t>
        </is>
      </c>
    </row>
    <row r="2">
      <c r="A2" s="2" t="inlineStr">
        <is>
          <t>Пример: частный медицинский центр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«Здравоохранение и социальные услуги».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Медицинский центр «Salomatlik Plus» открывает многопрофильную поликлинику с УЗИ-диагностикой в растущем спальном районе Ташкента. Требуемые инвестиции — 2,4 млрд сум на оборудование и ремонт помещения под медицинские стандарты; окупаемость — около 30 месяцев при выходе на 40 приёмов в день.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Здравоохранение и социальные услуги</t>
        </is>
      </c>
    </row>
    <row r="2" ht="59" customHeight="1">
      <c r="A2" s="4" t="inlineStr">
        <is>
          <t>•  Растёт спрос на качественные платные медицинские услуги: по данным Upl.uz со ссылкой на официальную статистику, за январь–август 2025 года объём рынка платных медицинских услуг Узбекистана составил 12,7 трлн сум с ростом на 12,6% год к году (upl.uz).</t>
        </is>
      </c>
    </row>
    <row r="3" ht="74" customHeight="1">
      <c r="A3" s="4" t="inlineStr">
        <is>
          <t>•  Рынок сильно централизован в столице: на Ташкент пришлось около половины всего объёма (5,9 трлн сум), далее — Ташкентская область (1,3 трлн сум) и Самаркандская область (938,4 млрд сум); наименьшие объёмы — в Навоийской, Сырдарьинской областях и Каракалпакстане (upl.uz) — в менее насыщенных регионах конкуренция ниже, но и платёжеспособный спрос меньше.</t>
        </is>
      </c>
    </row>
    <row r="4" ht="44" customHeight="1">
      <c r="A4" s="4" t="inlineStr">
        <is>
          <t>•  Число частных медицинских учреждений в стране продолжает расти год к году (по данным Госкомстата) — сектор активно переходит от единичных кабинетов к сетевым многопрофильным клиникам.</t>
        </is>
      </c>
    </row>
    <row r="5" ht="59" customHeight="1">
      <c r="A5" s="4" t="inlineStr">
        <is>
          <t>•  Развивается медицинский туризм из соседних стран для отдельных видов услуг (стоматология, пластическая хирургия, отдельные виды диагностики) — но эта ниша требует международной сертификации и маркетинга за пределами Узбекистана.</t>
        </is>
      </c>
    </row>
    <row r="6" ht="59" customHeight="1">
      <c r="A6" s="4" t="inlineStr">
        <is>
          <t>•  Медицинская деятельность подлежит обязательному лицензированию Министерством здравоохранения — сроки и требования лицензирования стоит закладывать в план запуска заранее, это не быстрый процесс.</t>
        </is>
      </c>
    </row>
    <row r="7" ht="74" customHeight="1">
      <c r="A7" s="4" t="inlineStr">
        <is>
          <t>•  Для сравнения: в Казахстане и России частная медицина более консолидирована в сетевые бренды с развитой страховой моделью оплаты — в Узбекистане доля оплаты услуг напрямую пациентом (а не через страховку) всё ещё выше, что делает ценовую доступность более значимым фактором выбора клиники для пациента.</t>
        </is>
      </c>
    </row>
    <row r="8" ht="44" customHeight="1">
      <c r="A8" s="4" t="inlineStr">
        <is>
          <t>•  [Впишите] Специализацию центра, конкурентов и их загрузку в вашем регионе — уточняйте по данным местного управления здравоохранения и отзывам пациентов.</t>
        </is>
      </c>
    </row>
    <row r="10">
      <c r="A10" s="5" t="inlineStr">
        <is>
          <t>Конкуренты</t>
        </is>
      </c>
    </row>
    <row r="11" ht="45" customHeight="1">
      <c r="A11" s="4" t="inlineStr">
        <is>
          <t>[Впишите] Список из 3-5 прямых конкурентов, их сильные и слабые стороны, чем вы отличаетесь.</t>
        </is>
      </c>
    </row>
    <row r="12">
      <c r="A12" s="5" t="inlineStr">
        <is>
          <t>Целевая аудитория</t>
        </is>
      </c>
    </row>
    <row r="13" ht="45" customHeight="1">
      <c r="A13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9">
    <mergeCell ref="A5:D5"/>
    <mergeCell ref="A8:D8"/>
    <mergeCell ref="A6:D6"/>
    <mergeCell ref="A4:D4"/>
    <mergeCell ref="A3:D3"/>
    <mergeCell ref="A7:D7"/>
    <mergeCell ref="A2:D2"/>
    <mergeCell ref="A11:D1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среднерыночная для сегмента с прозрачным прайс-листом на сайте; продвижение — партнёрство с работодателями района на корпоративные программы чек-апов, отзывы пациентов на агрегаторах, контент о профилактике в соцсетях для формирования доверия к центру.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запись пациента → приём/консультация → при необходимости диагностика на месте → назначение и, при необходимости, повторный приём → ведение медицинской карты. Требуется лицензирование Минздрава на каждый вид медицинской деятельности и наём персонала с действующими сертификатами.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Главный врач-совладелец, 4 врача разных специализаций, 2 медсестры, администратор ресепшена, бухгалтер на аутсорсе. Форма — ООО с лицензией на медицинскую деятельность.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44" customHeight="1">
      <c r="A13" s="4" t="inlineStr">
        <is>
          <t>Дефицит квалифицированных врачей нужной специализации</t>
        </is>
      </c>
      <c r="C13" s="4" t="inlineStr">
        <is>
          <t>Конкурентные условия, партнёрства с медицинскими вузами, программы наставничества</t>
        </is>
      </c>
    </row>
    <row r="14" ht="44" customHeight="1">
      <c r="A14" s="4" t="inlineStr">
        <is>
          <t>Регуляторные требования и длительные сроки лицензирования</t>
        </is>
      </c>
      <c r="C14" s="4" t="inlineStr">
        <is>
          <t>Заблаговременная подготовка документов, консультации с профильными юристами до старта</t>
        </is>
      </c>
    </row>
    <row r="15" ht="59" customHeight="1">
      <c r="A15" s="4" t="inlineStr">
        <is>
          <t>Репутационные риски при врачебных ошибках или жалобах пациентов</t>
        </is>
      </c>
      <c r="C15" s="4" t="inlineStr">
        <is>
          <t>Контроль качества услуг, страхование профессиональной ответственности, прозрачная работа с жалобами</t>
        </is>
      </c>
    </row>
    <row r="16" ht="44" customHeight="1">
      <c r="A16" s="4" t="inlineStr">
        <is>
          <t>Высокая концентрация конкурентов в крупных городах</t>
        </is>
      </c>
      <c r="C16" s="4" t="inlineStr">
        <is>
          <t>Чёткая специализация и УТП, рассмотрение менее насыщенных районов/регионов</t>
        </is>
      </c>
    </row>
    <row r="17" ht="44" customHeight="1">
      <c r="A17" s="4" t="inlineStr">
        <is>
          <t>Рост цен на медицинское оборудование и расходники (валютная составляющая)</t>
        </is>
      </c>
      <c r="C17" s="4" t="inlineStr">
        <is>
          <t>Долгосрочные контракты с поставщиками, частичное резервирование в валюте</t>
        </is>
      </c>
    </row>
    <row r="18" ht="59" customHeight="1">
      <c r="A18" s="4" t="inlineStr">
        <is>
          <t>Отток пациентов к медтуризму за рубеж по сложным случаям</t>
        </is>
      </c>
      <c r="C18" s="4" t="inlineStr">
        <is>
          <t>Партнёрства с зарубежными клиниками для сложных случаев, фокус на массовые и профилактические услуги на месте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Ремонт и оснащение помещения под мед. стандарты</t>
        </is>
      </c>
      <c r="B7" s="11" t="n">
        <v>0</v>
      </c>
      <c r="C7" s="14" t="inlineStr"/>
    </row>
    <row r="8" ht="21" customHeight="1">
      <c r="A8" s="14" t="inlineStr">
        <is>
          <t>Медицинское оборудование</t>
        </is>
      </c>
      <c r="B8" s="11" t="n">
        <v>0</v>
      </c>
      <c r="C8" s="14" t="inlineStr"/>
    </row>
    <row r="9" ht="21" customHeight="1">
      <c r="A9" s="14" t="inlineStr">
        <is>
          <t>Лицензирование медицинской деятельности</t>
        </is>
      </c>
      <c r="B9" s="11" t="n">
        <v>0</v>
      </c>
      <c r="C9" s="14" t="inlineStr"/>
    </row>
    <row r="10" ht="21" customHeight="1">
      <c r="A10" s="14" t="inlineStr">
        <is>
          <t>Найм квалифицированного персонала</t>
        </is>
      </c>
      <c r="B10" s="11" t="n">
        <v>0</v>
      </c>
      <c r="C10" s="14" t="inlineStr"/>
    </row>
    <row r="11" ht="21" customHeight="1">
      <c r="A11" s="14" t="inlineStr">
        <is>
          <t>IT-система учёта пациентов</t>
        </is>
      </c>
      <c r="B11" s="11" t="n">
        <v>0</v>
      </c>
      <c r="C11" s="14" t="inlineStr"/>
    </row>
    <row r="12" ht="21" customHeight="1">
      <c r="A12" s="14" t="inlineStr">
        <is>
          <t>Страхование профессиональной ответственности</t>
        </is>
      </c>
      <c r="B12" s="11" t="n">
        <v>0</v>
      </c>
      <c r="C12" s="14" t="inlineStr">
        <is>
          <t>часто требуется на этапе лицензирования</t>
        </is>
      </c>
    </row>
    <row r="13">
      <c r="A13" s="15" t="inlineStr">
        <is>
          <t>Итого: стартовые затраты (единоразово)</t>
        </is>
      </c>
      <c r="B13" s="16">
        <f>SUM(B7:B12)</f>
        <v/>
      </c>
      <c r="C13" s="17" t="n"/>
    </row>
    <row r="14"/>
    <row r="15">
      <c r="A15" s="12" t="inlineStr">
        <is>
          <t>Ежемесячная выручка</t>
        </is>
      </c>
      <c r="B15" s="13" t="n"/>
      <c r="C15" s="13" t="n"/>
    </row>
    <row r="16" ht="21" customHeight="1">
      <c r="A16" s="14" t="inlineStr">
        <is>
          <t>Приём и консультации</t>
        </is>
      </c>
      <c r="B16" s="11" t="n">
        <v>0</v>
      </c>
      <c r="C16" s="14" t="inlineStr"/>
    </row>
    <row r="17" ht="21" customHeight="1">
      <c r="A17" s="14" t="inlineStr">
        <is>
          <t>Диагностические услуги</t>
        </is>
      </c>
      <c r="B17" s="11" t="n">
        <v>0</v>
      </c>
      <c r="C17" s="14" t="inlineStr"/>
    </row>
    <row r="18" ht="21" customHeight="1">
      <c r="A18" s="14" t="inlineStr">
        <is>
          <t>Программы / абонементы</t>
        </is>
      </c>
      <c r="B18" s="11" t="n">
        <v>0</v>
      </c>
      <c r="C18" s="14" t="inlineStr">
        <is>
          <t>чек-апы, ведение хронических пациентов</t>
        </is>
      </c>
    </row>
    <row r="19" ht="21" customHeight="1">
      <c r="A19" s="14" t="inlineStr">
        <is>
          <t>Корпоративные программы для работодателей</t>
        </is>
      </c>
      <c r="B19" s="11" t="n">
        <v>0</v>
      </c>
      <c r="C19" s="14" t="inlineStr">
        <is>
          <t>профилактические осмотры сотрудников</t>
        </is>
      </c>
    </row>
    <row r="20">
      <c r="A20" s="15" t="inlineStr">
        <is>
          <t>Итого: ежемесячная выручка</t>
        </is>
      </c>
      <c r="B20" s="16">
        <f>SUM(B16:B19)</f>
        <v/>
      </c>
      <c r="C20" s="17" t="n"/>
    </row>
    <row r="21"/>
    <row r="22">
      <c r="A22" s="12" t="inlineStr">
        <is>
          <t>Ежемесячные операционные расходы</t>
        </is>
      </c>
      <c r="B22" s="13" t="n"/>
      <c r="C22" s="13" t="n"/>
    </row>
    <row r="23" ht="21" customHeight="1">
      <c r="A23" s="14" t="inlineStr">
        <is>
          <t>ФОТ врачей и мед. персонала</t>
        </is>
      </c>
      <c r="B23" s="11" t="n">
        <v>0</v>
      </c>
      <c r="C23" s="14" t="inlineStr"/>
    </row>
    <row r="24" ht="21" customHeight="1">
      <c r="A24" s="14" t="inlineStr">
        <is>
          <t>Расходные материалы и медикаменты</t>
        </is>
      </c>
      <c r="B24" s="11" t="n">
        <v>0</v>
      </c>
      <c r="C24" s="14" t="inlineStr"/>
    </row>
    <row r="25" ht="21" customHeight="1">
      <c r="A25" s="14" t="inlineStr">
        <is>
          <t>Обслуживание оборудования</t>
        </is>
      </c>
      <c r="B25" s="11" t="n">
        <v>0</v>
      </c>
      <c r="C25" s="14" t="inlineStr"/>
    </row>
    <row r="26" ht="21" customHeight="1">
      <c r="A26" s="14" t="inlineStr">
        <is>
          <t>Аренда и коммунальные услуги</t>
        </is>
      </c>
      <c r="B26" s="11" t="n">
        <v>0</v>
      </c>
      <c r="C26" s="14" t="inlineStr"/>
    </row>
    <row r="27" ht="21" customHeight="1">
      <c r="A27" s="14" t="inlineStr">
        <is>
          <t>Страхование профессиональной ответственности</t>
        </is>
      </c>
      <c r="B27" s="11" t="n">
        <v>0</v>
      </c>
      <c r="C27" s="14" t="inlineStr"/>
    </row>
    <row r="28">
      <c r="A28" s="15" t="inlineStr">
        <is>
          <t>Итого: ежемесячные операционные расходы</t>
        </is>
      </c>
      <c r="B28" s="16">
        <f>SUM(B23:B27)</f>
        <v/>
      </c>
      <c r="C28" s="17" t="n"/>
    </row>
    <row r="29"/>
    <row r="30">
      <c r="A30" s="10" t="inlineStr">
        <is>
          <t>Ежемесячная прибыль</t>
        </is>
      </c>
      <c r="B30" s="11">
        <f>B20-B28</f>
        <v/>
      </c>
    </row>
    <row r="31"/>
    <row r="32">
      <c r="A32" s="10" t="inlineStr">
        <is>
          <t>Срок выхода на окупаемость, мес.</t>
        </is>
      </c>
      <c r="B32" s="14">
        <f>IFERROR(B4/B30,"—")</f>
        <v/>
      </c>
      <c r="C32" s="14">
        <f> Начальные инвестиции / Ежемесячная прибыль</f>
        <v/>
      </c>
    </row>
    <row r="33">
      <c r="A33" s="10" t="inlineStr">
        <is>
          <t>Рентабельность продаж, %</t>
        </is>
      </c>
      <c r="B33" s="18">
        <f>IFERROR(B30/B20*100,"—")</f>
        <v/>
      </c>
      <c r="C33" s="14">
        <f> Ежемесячная прибыль / Выручка × 100%</f>
        <v/>
      </c>
    </row>
    <row r="34"/>
    <row r="35" ht="40" customHeight="1">
      <c r="A35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5:C35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2026-09-10T09:44:20Z</dcterms:created>
  <dcterms:modified xmlns:dcterms="http://purl.org/dc/terms/" xmlns:xsi="http://www.w3.org/2001/XMLSchema-instance" xsi:type="dcterms:W3CDTF">2026-09-10T09:44:20Z</dcterms:modified>
</cp:coreProperties>
</file>