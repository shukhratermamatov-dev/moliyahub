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нансовый 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14532D"/>
      <sz val="18"/>
    </font>
    <font>
      <i val="1"/>
      <color rgb="0064748B"/>
      <sz val="12"/>
    </font>
    <font>
      <b val="1"/>
      <color rgb="00FFFFFF"/>
      <sz val="12"/>
    </font>
    <font>
      <i val="1"/>
      <color rgb="0064748B"/>
    </font>
    <font>
      <b val="1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3" fontId="0" fillId="0" borderId="1" pivotButton="0" quotePrefix="0" xfId="0"/>
    <xf numFmtId="0" fontId="5" fillId="3" borderId="1" pivotButton="0" quotePrefix="0" xfId="0"/>
    <xf numFmtId="0" fontId="0" fillId="3" borderId="0" pivotButton="0" quotePrefix="0" xfId="0"/>
    <xf numFmtId="0" fontId="0" fillId="0" borderId="1" pivotButton="0" quotePrefix="0" xfId="0"/>
    <xf numFmtId="0" fontId="6" fillId="4" borderId="1" pivotButton="0" quotePrefix="0" xfId="0"/>
    <xf numFmtId="3" fontId="0" fillId="4" borderId="1" pivotButton="0" quotePrefix="0" xfId="0"/>
    <xf numFmtId="0" fontId="0" fillId="4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55" customWidth="1" min="3" max="3"/>
  </cols>
  <sheetData>
    <row r="1">
      <c r="A1" s="1" t="inlineStr">
        <is>
          <t>ФИНАНСОВЫЙ ПЛАН: ЗДРАВООХРАНЕНИЕ И СОЦИАЛЬНЫЕ УСЛУГИ</t>
        </is>
      </c>
    </row>
    <row r="2" ht="45" customHeight="1">
      <c r="A2" s="2" t="inlineStr">
        <is>
          <t>Этот файл дополняет текстовый документ бизнес-плана MoliyaHub для отрасли «Здравоохранение и социальные услуги» (резюме, анализ рынка, маркетинговый/операционный/организационный план, риски — в Word-файле с тем же названием). Здесь — только расчётная часть с рабочими формулами.</t>
        </is>
      </c>
    </row>
    <row r="3"/>
    <row r="4">
      <c r="A4" s="3" t="inlineStr">
        <is>
          <t>Статья</t>
        </is>
      </c>
      <c r="B4" s="3" t="inlineStr">
        <is>
          <t>Сумма, сум</t>
        </is>
      </c>
      <c r="C4" s="3" t="inlineStr">
        <is>
          <t>Комментарий</t>
        </is>
      </c>
    </row>
    <row r="5" ht="30" customHeight="1">
      <c r="A5" s="4" t="inlineStr">
        <is>
          <t>Впишите свои суммы в столбец «Сумма, сум» напротив каждой строки — итоги и срок окупаемости ниже пересчитаются автоматически (это формулы, не готовые числа). Строки без сумм — примерные статьи для вашей отрасли, добавляйте свои при необходимости.</t>
        </is>
      </c>
    </row>
    <row r="6"/>
    <row r="7">
      <c r="A7" s="5" t="inlineStr">
        <is>
          <t>Начальные инвестиции (требуемая сумма)</t>
        </is>
      </c>
      <c r="B7" s="6" t="n">
        <v>0</v>
      </c>
    </row>
    <row r="8"/>
    <row r="9">
      <c r="A9" s="7" t="inlineStr">
        <is>
          <t>Стартовые затраты (единоразово)</t>
        </is>
      </c>
      <c r="B9" s="8" t="n"/>
      <c r="C9" s="8" t="n"/>
    </row>
    <row r="10" ht="21" customHeight="1">
      <c r="A10" s="9" t="inlineStr">
        <is>
          <t>Ремонт и оснащение помещения под мед. стандарты</t>
        </is>
      </c>
      <c r="B10" s="6" t="n">
        <v>0</v>
      </c>
      <c r="C10" s="9" t="inlineStr"/>
    </row>
    <row r="11" ht="21" customHeight="1">
      <c r="A11" s="9" t="inlineStr">
        <is>
          <t>Медицинское оборудование</t>
        </is>
      </c>
      <c r="B11" s="6" t="n">
        <v>0</v>
      </c>
      <c r="C11" s="9" t="inlineStr"/>
    </row>
    <row r="12" ht="21" customHeight="1">
      <c r="A12" s="9" t="inlineStr">
        <is>
          <t>Лицензирование медицинской деятельности</t>
        </is>
      </c>
      <c r="B12" s="6" t="n">
        <v>0</v>
      </c>
      <c r="C12" s="9" t="inlineStr"/>
    </row>
    <row r="13" ht="21" customHeight="1">
      <c r="A13" s="9" t="inlineStr">
        <is>
          <t>Найм квалифицированного персонала</t>
        </is>
      </c>
      <c r="B13" s="6" t="n">
        <v>0</v>
      </c>
      <c r="C13" s="9" t="inlineStr"/>
    </row>
    <row r="14" ht="21" customHeight="1">
      <c r="A14" s="9" t="inlineStr">
        <is>
          <t>IT-система учёта пациентов</t>
        </is>
      </c>
      <c r="B14" s="6" t="n">
        <v>0</v>
      </c>
      <c r="C14" s="9" t="inlineStr"/>
    </row>
    <row r="15" ht="21" customHeight="1">
      <c r="A15" s="9" t="inlineStr">
        <is>
          <t>Страхование профессиональной ответственности</t>
        </is>
      </c>
      <c r="B15" s="6" t="n">
        <v>0</v>
      </c>
      <c r="C15" s="9" t="inlineStr">
        <is>
          <t>часто требуется на этапе лицензирования</t>
        </is>
      </c>
    </row>
    <row r="16">
      <c r="A16" s="10" t="inlineStr">
        <is>
          <t>Итого: стартовые затраты (единоразово)</t>
        </is>
      </c>
      <c r="B16" s="11">
        <f>SUM(B10:B15)</f>
        <v/>
      </c>
      <c r="C16" s="12" t="n"/>
    </row>
    <row r="17"/>
    <row r="18">
      <c r="A18" s="7" t="inlineStr">
        <is>
          <t>Ежемесячная выручка</t>
        </is>
      </c>
      <c r="B18" s="8" t="n"/>
      <c r="C18" s="8" t="n"/>
    </row>
    <row r="19" ht="21" customHeight="1">
      <c r="A19" s="9" t="inlineStr">
        <is>
          <t>Приём и консультации</t>
        </is>
      </c>
      <c r="B19" s="6" t="n">
        <v>0</v>
      </c>
      <c r="C19" s="9" t="inlineStr"/>
    </row>
    <row r="20" ht="21" customHeight="1">
      <c r="A20" s="9" t="inlineStr">
        <is>
          <t>Диагностические услуги</t>
        </is>
      </c>
      <c r="B20" s="6" t="n">
        <v>0</v>
      </c>
      <c r="C20" s="9" t="inlineStr"/>
    </row>
    <row r="21" ht="21" customHeight="1">
      <c r="A21" s="9" t="inlineStr">
        <is>
          <t>Программы / абонементы</t>
        </is>
      </c>
      <c r="B21" s="6" t="n">
        <v>0</v>
      </c>
      <c r="C21" s="9" t="inlineStr">
        <is>
          <t>чек-апы, ведение хронических пациентов</t>
        </is>
      </c>
    </row>
    <row r="22" ht="21" customHeight="1">
      <c r="A22" s="9" t="inlineStr">
        <is>
          <t>Корпоративные программы для работодателей</t>
        </is>
      </c>
      <c r="B22" s="6" t="n">
        <v>0</v>
      </c>
      <c r="C22" s="9" t="inlineStr">
        <is>
          <t>профилактические осмотры сотрудников</t>
        </is>
      </c>
    </row>
    <row r="23">
      <c r="A23" s="10" t="inlineStr">
        <is>
          <t>Итого: ежемесячная выручка</t>
        </is>
      </c>
      <c r="B23" s="11">
        <f>SUM(B19:B22)</f>
        <v/>
      </c>
      <c r="C23" s="12" t="n"/>
    </row>
    <row r="24"/>
    <row r="25">
      <c r="A25" s="7" t="inlineStr">
        <is>
          <t>Ежемесячные операционные расходы</t>
        </is>
      </c>
      <c r="B25" s="8" t="n"/>
      <c r="C25" s="8" t="n"/>
    </row>
    <row r="26" ht="21" customHeight="1">
      <c r="A26" s="9" t="inlineStr">
        <is>
          <t>ФОТ врачей и мед. персонала</t>
        </is>
      </c>
      <c r="B26" s="6" t="n">
        <v>0</v>
      </c>
      <c r="C26" s="9" t="inlineStr"/>
    </row>
    <row r="27" ht="21" customHeight="1">
      <c r="A27" s="9" t="inlineStr">
        <is>
          <t>Расходные материалы и медикаменты</t>
        </is>
      </c>
      <c r="B27" s="6" t="n">
        <v>0</v>
      </c>
      <c r="C27" s="9" t="inlineStr"/>
    </row>
    <row r="28" ht="21" customHeight="1">
      <c r="A28" s="9" t="inlineStr">
        <is>
          <t>Обслуживание оборудования</t>
        </is>
      </c>
      <c r="B28" s="6" t="n">
        <v>0</v>
      </c>
      <c r="C28" s="9" t="inlineStr"/>
    </row>
    <row r="29" ht="21" customHeight="1">
      <c r="A29" s="9" t="inlineStr">
        <is>
          <t>Аренда и коммунальные услуги</t>
        </is>
      </c>
      <c r="B29" s="6" t="n">
        <v>0</v>
      </c>
      <c r="C29" s="9" t="inlineStr"/>
    </row>
    <row r="30" ht="21" customHeight="1">
      <c r="A30" s="9" t="inlineStr">
        <is>
          <t>Страхование профессиональной ответственности</t>
        </is>
      </c>
      <c r="B30" s="6" t="n">
        <v>0</v>
      </c>
      <c r="C30" s="9" t="inlineStr"/>
    </row>
    <row r="31">
      <c r="A31" s="10" t="inlineStr">
        <is>
          <t>Итого: ежемесячные операционные расходы</t>
        </is>
      </c>
      <c r="B31" s="11">
        <f>SUM(B26:B30)</f>
        <v/>
      </c>
      <c r="C31" s="12" t="n"/>
    </row>
    <row r="32"/>
    <row r="33">
      <c r="A33" s="5" t="inlineStr">
        <is>
          <t>Ежемесячная прибыль</t>
        </is>
      </c>
      <c r="B33" s="6">
        <f>B23-B31</f>
        <v/>
      </c>
    </row>
    <row r="34"/>
    <row r="35">
      <c r="A35" s="5" t="inlineStr">
        <is>
          <t>Срок выхода на окупаемость, мес.</t>
        </is>
      </c>
      <c r="B35" s="9">
        <f>IFERROR(B7/B33,"—")</f>
        <v/>
      </c>
      <c r="C35" s="9">
        <f> Начальные инвестиции / Ежемесячная прибыль</f>
        <v/>
      </c>
    </row>
    <row r="36">
      <c r="A36" s="5" t="inlineStr">
        <is>
          <t>Рентабельность продаж, %</t>
        </is>
      </c>
      <c r="B36" s="13">
        <f>IFERROR(B33/B23*100,"—")</f>
        <v/>
      </c>
      <c r="C36" s="9">
        <f> Ежемесячная прибыль / Выручка × 100%</f>
        <v/>
      </c>
    </row>
    <row r="37"/>
    <row r="38" ht="40" customHeight="1">
      <c r="A38" s="4" t="inlineStr">
        <is>
          <t>Это шаблон для ваших собственных расчётов, а не готовые рыночные данные — цифры нужно заполнить самостоятельно, исходя из реальных цен и условий вашего проекта. Там, где в комментарии указан ориентир или диапазон, — это иллюстрация для понимания масштаба статьи, а не проверенные рыночные данные.</t>
        </is>
      </c>
    </row>
  </sheetData>
  <mergeCells count="3">
    <mergeCell ref="A5:C5"/>
    <mergeCell ref="A38:C3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2026-09-10T10:08:12Z</dcterms:created>
  <dcterms:modified xmlns:dcterms="http://purl.org/dc/terms/" xmlns:xsi="http://www.w3.org/2001/XMLSchema-instance" xsi:type="dcterms:W3CDTF">2026-09-10T10:08:12Z</dcterms:modified>
</cp:coreProperties>
</file>