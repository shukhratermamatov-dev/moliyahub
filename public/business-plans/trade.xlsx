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ТОРГОВЛЯ И ОБЩЕСТВЕННОЕ ПИТАНИЕ</t>
        </is>
      </c>
    </row>
    <row r="2">
      <c r="A2" s="2" t="inlineStr">
        <is>
          <t>Пример: розничный магазин или точка общественного питания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«Торговля и общественное питание».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Торговля и общественное питание</t>
        </is>
      </c>
    </row>
    <row r="2" ht="45" customHeight="1">
      <c r="A2" s="4" t="inlineStr">
        <is>
          <t>•  Розничная торговля и общепит — один из крупнейших секторов по числу МСБ в Узбекистане.</t>
        </is>
      </c>
    </row>
    <row r="3" ht="45" customHeight="1">
      <c r="A3" s="4" t="inlineStr">
        <is>
          <t>•  Растёт проникновение маркетплейсов (Uzum Market и др.) и сервисов доставки еды.</t>
        </is>
      </c>
    </row>
    <row r="4" ht="45" customHeight="1">
      <c r="A4" s="4" t="inlineStr">
        <is>
          <t>•  Рост доходов населения в крупных городах повышает спрос на современный формат торговли и питания.</t>
        </is>
      </c>
    </row>
    <row r="5" ht="45" customHeight="1">
      <c r="A5" s="4" t="inlineStr">
        <is>
          <t>•  [Впишите] Проходимость и конкурентов в конкретной локации, средний чек по сегменту.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Высокая конкуренция</t>
        </is>
      </c>
      <c r="C10" s="4" t="inlineStr">
        <is>
          <t>Уникальное позиционирование, программа лояльности</t>
        </is>
      </c>
    </row>
    <row r="11" ht="30" customHeight="1">
      <c r="A11" s="4" t="inlineStr">
        <is>
          <t>Порча/списание товара</t>
        </is>
      </c>
      <c r="C11" s="4" t="inlineStr">
        <is>
          <t>Контроль запасов, принцип FIFO</t>
        </is>
      </c>
    </row>
    <row r="12" ht="30" customHeight="1">
      <c r="A12" s="4" t="inlineStr">
        <is>
          <t>Изменение потребительского спроса</t>
        </is>
      </c>
      <c r="C12" s="4" t="inlineStr">
        <is>
          <t>Регулярный анализ продаж и ассортимента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Аренда и ремонт торговой точки</t>
        </is>
      </c>
      <c r="B7" s="10" t="n">
        <v>0</v>
      </c>
      <c r="C7" s="13" t="inlineStr"/>
    </row>
    <row r="8">
      <c r="A8" s="13" t="inlineStr">
        <is>
          <t>Торговое / кухонное оборудование</t>
        </is>
      </c>
      <c r="B8" s="10" t="n">
        <v>0</v>
      </c>
      <c r="C8" s="13" t="inlineStr"/>
    </row>
    <row r="9">
      <c r="A9" s="13" t="inlineStr">
        <is>
          <t>Первая товарная партия / запасы</t>
        </is>
      </c>
      <c r="B9" s="10" t="n">
        <v>0</v>
      </c>
      <c r="C9" s="13" t="inlineStr"/>
    </row>
    <row r="10">
      <c r="A10" s="13" t="inlineStr">
        <is>
          <t>Регистрация ККМ и разрешений</t>
        </is>
      </c>
      <c r="B10" s="10" t="n">
        <v>0</v>
      </c>
      <c r="C10" s="13" t="inlineStr">
        <is>
          <t>для общепита — санэпидзаключение</t>
        </is>
      </c>
    </row>
    <row r="11">
      <c r="A11" s="13" t="inlineStr">
        <is>
          <t>Вывеска и брендинг</t>
        </is>
      </c>
      <c r="B11" s="10" t="n">
        <v>0</v>
      </c>
      <c r="C11" s="13" t="inlineStr"/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Розничные продажи в точке</t>
        </is>
      </c>
      <c r="B15" s="10" t="n">
        <v>0</v>
      </c>
      <c r="C15" s="13" t="inlineStr"/>
    </row>
    <row r="16">
      <c r="A16" s="13" t="inlineStr">
        <is>
          <t>Онлайн-продажи / доставка</t>
        </is>
      </c>
      <c r="B16" s="10" t="n">
        <v>0</v>
      </c>
      <c r="C16" s="13" t="inlineStr">
        <is>
          <t>маркетплейсы и агрегаторы</t>
        </is>
      </c>
    </row>
    <row r="17">
      <c r="A17" s="13" t="inlineStr">
        <is>
          <t>Опт для небольших партнёров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Аренда</t>
        </is>
      </c>
      <c r="B21" s="10" t="n">
        <v>0</v>
      </c>
      <c r="C21" s="13" t="inlineStr"/>
    </row>
    <row r="22">
      <c r="A22" s="13" t="inlineStr">
        <is>
          <t>ФОТ персонала</t>
        </is>
      </c>
      <c r="B22" s="10" t="n">
        <v>0</v>
      </c>
      <c r="C22" s="13" t="inlineStr"/>
    </row>
    <row r="23">
      <c r="A23" s="13" t="inlineStr">
        <is>
          <t>Закупка товара / продуктов</t>
        </is>
      </c>
      <c r="B23" s="10" t="n">
        <v>0</v>
      </c>
      <c r="C23" s="13" t="inlineStr"/>
    </row>
    <row r="24">
      <c r="A24" s="13" t="inlineStr">
        <is>
          <t>Коммунальные услуги</t>
        </is>
      </c>
      <c r="B24" s="10" t="n">
        <v>0</v>
      </c>
      <c r="C24" s="13" t="inlineStr"/>
    </row>
    <row r="25">
      <c r="A25" s="13" t="inlineStr">
        <is>
          <t>Комиссии маркетплейсов/агрегаторов доставки</t>
        </is>
      </c>
      <c r="B25" s="10" t="n">
        <v>0</v>
      </c>
      <c r="C25" s="13" t="inlineStr"/>
    </row>
    <row r="26">
      <c r="A26" s="13" t="inlineStr">
        <is>
          <t>Налоги</t>
        </is>
      </c>
      <c r="B26" s="10" t="n">
        <v>0</v>
      </c>
      <c r="C26" s="13" t="inlineStr">
        <is>
          <t>включая кассовый учёт</t>
        </is>
      </c>
    </row>
    <row r="27">
      <c r="A27" s="14" t="inlineStr">
        <is>
          <t>Итого: ежемесячные операционные расходы</t>
        </is>
      </c>
      <c r="B27" s="15">
        <f>SUM(B21:B26)</f>
        <v/>
      </c>
      <c r="C27" s="16" t="n"/>
    </row>
    <row r="28"/>
    <row r="29">
      <c r="A29" s="9" t="inlineStr">
        <is>
          <t>Ежемесячная прибыль</t>
        </is>
      </c>
      <c r="B29" s="10">
        <f>B18-B27</f>
        <v/>
      </c>
    </row>
    <row r="30"/>
    <row r="31">
      <c r="A31" s="9" t="inlineStr">
        <is>
          <t>Срок выхода на окупаемость, мес.</t>
        </is>
      </c>
      <c r="B31" s="13">
        <f>IFERROR(B4/B29,"—")</f>
        <v/>
      </c>
      <c r="C31" s="13">
        <f> Начальные инвестиции / Ежемесячная прибыль</f>
        <v/>
      </c>
    </row>
    <row r="32">
      <c r="A32" s="9" t="inlineStr">
        <is>
          <t>Рентабельность продаж, %</t>
        </is>
      </c>
      <c r="B32" s="17">
        <f>IFERROR(B29/B18*100,"—")</f>
        <v/>
      </c>
      <c r="C32" s="13">
        <f> Ежемесячная прибыль / Выручка × 100%</f>
        <v/>
      </c>
    </row>
    <row r="33"/>
    <row r="34" ht="30" customHeight="1">
      <c r="A34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2:C2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