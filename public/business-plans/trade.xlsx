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Титульный лист" sheetId="1" state="visible" r:id="rId1"/>
    <sheet xmlns:r="http://schemas.openxmlformats.org/officeDocument/2006/relationships" name="Резюме проекта" sheetId="2" state="visible" r:id="rId2"/>
    <sheet xmlns:r="http://schemas.openxmlformats.org/officeDocument/2006/relationships" name="Анализ рынка" sheetId="3" state="visible" r:id="rId3"/>
    <sheet xmlns:r="http://schemas.openxmlformats.org/officeDocument/2006/relationships" name="План и риски" sheetId="4" state="visible" r:id="rId4"/>
    <sheet xmlns:r="http://schemas.openxmlformats.org/officeDocument/2006/relationships" name="Финансовый план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0">
    <font>
      <name val="Calibri"/>
      <family val="2"/>
      <color theme="1"/>
      <sz val="11"/>
      <scheme val="minor"/>
    </font>
    <font>
      <b val="1"/>
      <color rgb="0014532D"/>
      <sz val="18"/>
    </font>
    <font>
      <i val="1"/>
      <color rgb="0064748B"/>
      <sz val="12"/>
    </font>
    <font>
      <sz val="12"/>
    </font>
    <font>
      <b val="1"/>
      <color rgb="0014532D"/>
      <sz val="13"/>
    </font>
    <font>
      <i val="1"/>
      <color rgb="001D4ED8"/>
    </font>
    <font>
      <b val="1"/>
    </font>
    <font>
      <b val="1"/>
      <color rgb="00FFFFFF"/>
      <sz val="12"/>
    </font>
    <font>
      <i val="1"/>
      <color rgb="0064748B"/>
    </font>
    <font>
      <b val="1"/>
      <i val="1"/>
    </font>
  </fonts>
  <fills count="6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14532D"/>
      </patternFill>
    </fill>
    <fill>
      <patternFill patternType="solid">
        <fgColor rgb="00E2E8F0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0" applyAlignment="1" pivotButton="0" quotePrefix="0" xfId="0">
      <alignment vertical="top" wrapText="1"/>
    </xf>
    <xf numFmtId="0" fontId="6" fillId="0" borderId="0" pivotButton="0" quotePrefix="0" xfId="0"/>
    <xf numFmtId="0" fontId="7" fillId="3" borderId="1" pivotButton="0" quotePrefix="0" xfId="0"/>
    <xf numFmtId="0" fontId="8" fillId="0" borderId="1" applyAlignment="1" pivotButton="0" quotePrefix="0" xfId="0">
      <alignment vertical="top" wrapText="1"/>
    </xf>
    <xf numFmtId="0" fontId="6" fillId="0" borderId="1" pivotButton="0" quotePrefix="0" xfId="0"/>
    <xf numFmtId="3" fontId="0" fillId="0" borderId="1" pivotButton="0" quotePrefix="0" xfId="0"/>
    <xf numFmtId="0" fontId="6" fillId="4" borderId="1" pivotButton="0" quotePrefix="0" xfId="0"/>
    <xf numFmtId="0" fontId="0" fillId="4" borderId="0" pivotButton="0" quotePrefix="0" xfId="0"/>
    <xf numFmtId="0" fontId="0" fillId="0" borderId="1" pivotButton="0" quotePrefix="0" xfId="0"/>
    <xf numFmtId="0" fontId="9" fillId="5" borderId="1" pivotButton="0" quotePrefix="0" xfId="0"/>
    <xf numFmtId="3" fontId="0" fillId="5" borderId="1" pivotButton="0" quotePrefix="0" xfId="0"/>
    <xf numFmtId="0" fontId="0" fillId="5" borderId="0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БИЗНЕС-ПЛАН: ТОРГОВЛЯ И ОБЩЕСТВЕННОЕ ПИТАНИЕ</t>
        </is>
      </c>
    </row>
    <row r="2">
      <c r="A2" s="2" t="inlineStr">
        <is>
          <t>Пример: розничный магазин или точка общественного питания</t>
        </is>
      </c>
    </row>
    <row r="4">
      <c r="A4" s="3" t="inlineStr">
        <is>
          <t>Название проекта: [впишите]</t>
        </is>
      </c>
    </row>
    <row r="5">
      <c r="A5" s="3" t="inlineStr">
        <is>
          <t>Автор / компания: [впишите]</t>
        </is>
      </c>
    </row>
    <row r="6">
      <c r="A6" s="3" t="inlineStr">
        <is>
          <t>Регион реализации: [впишите]</t>
        </is>
      </c>
    </row>
    <row r="7">
      <c r="A7" s="3" t="inlineStr">
        <is>
          <t>Требуемая сумма инвестиций, сум: [впишите]</t>
        </is>
      </c>
    </row>
    <row r="8">
      <c r="A8" s="3" t="inlineStr">
        <is>
          <t>Дата: [впишите]</t>
        </is>
      </c>
    </row>
    <row r="10" ht="90" customHeight="1">
      <c r="A10" s="4" t="inlineStr">
        <is>
          <t>Это готовый образец (шаблон) бизнес-плана MoliyaHub для отрасли «Торговля и общественное питание». Замените текст в квадратных скобках [впишите] и примеры на данные вашего проекта, добавьте или удалите строки в таблицах по необходимости. Абзацы, отмеченные как «ПРИМЕР», — иллюстрация формата ответа, а не факты о реальной компании; замените их своими данными. Суммы в листе «Финансовый план» пересчитываются автоматически по формулам — просто впишите свои цифры в столбец «Сумма, сум».</t>
        </is>
      </c>
    </row>
  </sheetData>
  <mergeCells count="1">
    <mergeCell ref="A10:D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Резюме проекта</t>
        </is>
      </c>
    </row>
    <row r="2" ht="74" customHeight="1">
      <c r="A2" s="6" t="inlineStr">
        <is>
          <t>ПРИМЕР (иллюстрация, не данные реальной компании): Кофейня «Qahva Vaqti» открывается в спальном районе Ташкента формата «кофе с собой» + 12 посадочных мест, с продажей выпечки собственного производства. Требуемые инвестиции — 480 млн сум на ремонт и оборудование; окупаемость — около 16 месяцев при среднем чеке 35 тыс. сум и 120 чеках в день.</t>
        </is>
      </c>
    </row>
    <row r="3" ht="44" customHeight="1">
      <c r="A3" s="4" t="inlineStr">
        <is>
          <t>[Впишите] В 5-8 предложениях: суть проекта, какую проблему решает, для кого, требуемая сумма инвестиций и на что она пойдёт, ожидаемый результат (выручка/прибыль/срок окупаемости).</t>
        </is>
      </c>
    </row>
    <row r="5">
      <c r="A5" s="5" t="inlineStr">
        <is>
          <t>Описание компании / проекта</t>
        </is>
      </c>
    </row>
    <row r="6" ht="70" customHeight="1">
      <c r="A6" s="4" t="inlineStr">
        <is>
          <t>[Впишите] Организационно-правовая форма (ИП/ООО/фермерское хозяйство), команда, текущий статус проекта (идея / MVP / действующий бизнес), уникальное торговое предложение.</t>
        </is>
      </c>
    </row>
  </sheetData>
  <mergeCells count="3">
    <mergeCell ref="A3:D3"/>
    <mergeCell ref="A2:D2"/>
    <mergeCell ref="A6:D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Анализ рынка: Торговля и общественное питание</t>
        </is>
      </c>
    </row>
    <row r="2" ht="44" customHeight="1">
      <c r="A2" s="4" t="inlineStr">
        <is>
          <t>•  Розничная торговля и общепит — один из крупнейших секторов по числу МСБ в Узбекистане и одна из самых доступных точек входа для начинающего предпринимателя.</t>
        </is>
      </c>
    </row>
    <row r="3" ht="74" customHeight="1">
      <c r="A3" s="4" t="inlineStr">
        <is>
          <t>•  E-commerce растёт стремительно: по данным Gazeta.uz, на платформе Uzum Market работает свыше 18 тыс. продавцов (рост на 32% с начала года), оборот продавцов год к году вырос на 60%, а весь GMV площадки за 2025 год превысил $500 млн (рост в 1,5 раза) при 34 млн заказов (gazeta.uz) — маркетплейсы становятся полноценным каналом сбыта, а не просто дополнением к офлайн-точке.</t>
        </is>
      </c>
    </row>
    <row r="4" ht="59" customHeight="1">
      <c r="A4" s="4" t="inlineStr">
        <is>
          <t>•  90% продавцов на крупнейшем маркетплейсе — представители малого бизнеса из регионов, а не только столичные сети (gazeta.uz) — выход на маркетплейс реалистичен и для небольшого нового бизнеса.</t>
        </is>
      </c>
    </row>
    <row r="5" ht="44" customHeight="1">
      <c r="A5" s="4" t="inlineStr">
        <is>
          <t>•  Рост доходов населения в крупных городах повышает спрос на современный формат торговли и питания — сетевые кофейни, фудкорты, магазины у дома с удобным форматом.</t>
        </is>
      </c>
    </row>
    <row r="6" ht="59" customHeight="1">
      <c r="A6" s="4" t="inlineStr">
        <is>
          <t>•  Для сравнения: в Казахстане e-commerce и маркетплейсы (Kaspi.kz) достигли большей зрелости и доли в розничном обороте — узбекский рынок ещё в фазе быстрого роста, что даёт больше пространства для новых продавцов и брендов, чем на более насыщенных соседних рынках.</t>
        </is>
      </c>
    </row>
    <row r="7" ht="44" customHeight="1">
      <c r="A7" s="4" t="inlineStr">
        <is>
          <t>•  [Впишите] Проходимость и конкурентов в конкретной локации, средний чек по сегменту — уточняйте прямым наблюдением на месте и в отраслевых обзорах ритейла.</t>
        </is>
      </c>
    </row>
    <row r="9">
      <c r="A9" s="5" t="inlineStr">
        <is>
          <t>Конкуренты</t>
        </is>
      </c>
    </row>
    <row r="10" ht="45" customHeight="1">
      <c r="A10" s="4" t="inlineStr">
        <is>
          <t>[Впишите] Список из 3-5 прямых конкурентов, их сильные и слабые стороны, чем вы отличаетесь.</t>
        </is>
      </c>
    </row>
    <row r="11">
      <c r="A11" s="5" t="inlineStr">
        <is>
          <t>Целевая аудитория</t>
        </is>
      </c>
    </row>
    <row r="12" ht="45" customHeight="1">
      <c r="A12" s="4" t="inlineStr">
        <is>
          <t>[Впишите] Портрет основного клиента: кто он, что для него важно при выборе, где его найти.</t>
        </is>
      </c>
    </row>
  </sheetData>
  <mergeCells count="8">
    <mergeCell ref="A5:D5"/>
    <mergeCell ref="A6:D6"/>
    <mergeCell ref="A12:D12"/>
    <mergeCell ref="A4:D4"/>
    <mergeCell ref="A3:D3"/>
    <mergeCell ref="A7:D7"/>
    <mergeCell ref="A2:D2"/>
    <mergeCell ref="A10:D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Маркетинговый план</t>
        </is>
      </c>
    </row>
    <row r="2" ht="74" customHeight="1">
      <c r="A2" s="6" t="inlineStr">
        <is>
          <t>ПРИМЕР (иллюстрация, не данные реальной компании): Цена — на уровне среднего чека по району с акцентом на качество кофе и своей выпечки; продвижение — страницы в Instagram/Telegram с фото и акциями, программа лояльности (каждый 6-й кофе бесплатно), партнёрство с соседними офисами на корпоративные заказы.</t>
        </is>
      </c>
    </row>
    <row r="3" ht="30" customHeight="1">
      <c r="A3" s="4" t="inlineStr">
        <is>
          <t>[Впишите] Ценообразование, каналы продвижения и продаж, план привлечения первых клиентов.</t>
        </is>
      </c>
    </row>
    <row r="4">
      <c r="A4" s="5" t="inlineStr">
        <is>
          <t>Операционный план</t>
        </is>
      </c>
    </row>
    <row r="5" ht="74" customHeight="1">
      <c r="A5" s="6" t="inlineStr">
        <is>
          <t>ПРИМЕР (иллюстрация, не данные реальной компании): Цикл: закупка сырья у поставщиков → приготовление на месте → продажа в зале/навынос → учёт выручки через ККМ. Ключевые поставщики — обжарщик кофе, поставщик молочной продукции и выпечки. Требуется регистрация ККМ и санитарно-эпидемиологическое заключение.</t>
        </is>
      </c>
    </row>
    <row r="6" ht="44" customHeight="1">
      <c r="A6" s="4" t="inlineStr">
        <is>
          <t>[Впишите] Процесс производства/оказания услуги, ключевые поставщики, оборудование, необходимые лицензии и разрешения.</t>
        </is>
      </c>
    </row>
    <row r="7">
      <c r="A7" s="5" t="inlineStr">
        <is>
          <t>Организационный план</t>
        </is>
      </c>
    </row>
    <row r="8" ht="59" customHeight="1">
      <c r="A8" s="6" t="inlineStr">
        <is>
          <t>ПРИМЕР (иллюстрация, не данные реальной компании): Владелец-управляющий, 2 бариста посменно, кондитер на part-time, уборщица на аутсорсе. Форма — ИП на начальном этапе, переход в ООО при расширении до сети.</t>
        </is>
      </c>
    </row>
    <row r="9" ht="30" customHeight="1">
      <c r="A9" s="4" t="inlineStr">
        <is>
          <t>[Впишите] Команда и роли, штатное расписание, организационно-правовая форма.</t>
        </is>
      </c>
    </row>
    <row r="10">
      <c r="A10" s="5" t="inlineStr">
        <is>
          <t>Риски и меры по их снижению (примеры для отрасли)</t>
        </is>
      </c>
    </row>
    <row r="12">
      <c r="A12" s="7" t="inlineStr">
        <is>
          <t>Риск</t>
        </is>
      </c>
      <c r="C12" s="7" t="inlineStr">
        <is>
          <t>Меры снижения</t>
        </is>
      </c>
    </row>
    <row r="13" ht="44" customHeight="1">
      <c r="A13" s="4" t="inlineStr">
        <is>
          <t>Высокая конкуренция в насыщенных локациях</t>
        </is>
      </c>
      <c r="C13" s="4" t="inlineStr">
        <is>
          <t>Уникальное позиционирование, программа лояльности, узнаваемый бренд</t>
        </is>
      </c>
    </row>
    <row r="14" ht="44" customHeight="1">
      <c r="A14" s="4" t="inlineStr">
        <is>
          <t>Порча/списание скоропортящегося товара</t>
        </is>
      </c>
      <c r="C14" s="4" t="inlineStr">
        <is>
          <t>Контроль запасов, принцип FIFO, гибкое меню под остатки</t>
        </is>
      </c>
    </row>
    <row r="15" ht="44" customHeight="1">
      <c r="A15" s="4" t="inlineStr">
        <is>
          <t>Изменение потребительского спроса и трендов</t>
        </is>
      </c>
      <c r="C15" s="4" t="inlineStr">
        <is>
          <t>Регулярный анализ продаж и ассортимента, тестирование новых позиций малыми партиями</t>
        </is>
      </c>
    </row>
    <row r="16" ht="59" customHeight="1">
      <c r="A16" s="4" t="inlineStr">
        <is>
          <t>Рост комиссий и зависимость от маркетплейсов/агрегаторов доставки</t>
        </is>
      </c>
      <c r="C16" s="4" t="inlineStr">
        <is>
          <t>Развитие собственных каналов продаж (соцсети, повторные заказы) параллельно с маркетплейсами</t>
        </is>
      </c>
    </row>
    <row r="17" ht="44" customHeight="1">
      <c r="A17" s="4" t="inlineStr">
        <is>
          <t>Рост арендных ставок в проходных локациях</t>
        </is>
      </c>
      <c r="C17" s="4" t="inlineStr">
        <is>
          <t>Долгосрочный договор аренды с фиксацией ставки, резервная локация</t>
        </is>
      </c>
    </row>
    <row r="18" ht="44" customHeight="1">
      <c r="A18" s="4" t="inlineStr">
        <is>
          <t>Дефицит и текучесть линейного персонала (бариста, продавцы)</t>
        </is>
      </c>
      <c r="C18" s="4" t="inlineStr">
        <is>
          <t>Понятная система мотивации, обучение при найме, комфортные условия труда</t>
        </is>
      </c>
    </row>
    <row r="20" ht="30" customHeight="1">
      <c r="A20" s="4" t="inlineStr">
        <is>
          <t>[Впишите] Дополните таблицу своими рисками, специфичными для вашего проекта и региона.</t>
        </is>
      </c>
    </row>
  </sheetData>
  <mergeCells count="21">
    <mergeCell ref="A5:D5"/>
    <mergeCell ref="A8:D8"/>
    <mergeCell ref="A15:B15"/>
    <mergeCell ref="C15:D15"/>
    <mergeCell ref="A20:D20"/>
    <mergeCell ref="C14:D14"/>
    <mergeCell ref="A9:D9"/>
    <mergeCell ref="A16:B16"/>
    <mergeCell ref="C16:D16"/>
    <mergeCell ref="A18:B18"/>
    <mergeCell ref="A12:B12"/>
    <mergeCell ref="C12:D12"/>
    <mergeCell ref="A6:D6"/>
    <mergeCell ref="A14:B14"/>
    <mergeCell ref="A17:B17"/>
    <mergeCell ref="C17:D17"/>
    <mergeCell ref="A3:D3"/>
    <mergeCell ref="A13:B13"/>
    <mergeCell ref="C13:D13"/>
    <mergeCell ref="A2:D2"/>
    <mergeCell ref="C18:D1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55" customWidth="1" min="3" max="3"/>
  </cols>
  <sheetData>
    <row r="1">
      <c r="A1" s="8" t="inlineStr">
        <is>
          <t>Статья</t>
        </is>
      </c>
      <c r="B1" s="8" t="inlineStr">
        <is>
          <t>Сумма, сум</t>
        </is>
      </c>
      <c r="C1" s="8" t="inlineStr">
        <is>
          <t>Комментарий</t>
        </is>
      </c>
    </row>
    <row r="2" ht="30" customHeight="1">
      <c r="A2" s="9" t="inlineStr">
        <is>
          <t>Впишите свои суммы в столбец «Сумма, сум» напротив каждой строки — итоги и срок окупаемости ниже пересчитаются автоматически (это формулы, не готовые числа). Строки без сумм — примерные статьи для вашей отрасли, добавляйте свои при необходимости.</t>
        </is>
      </c>
    </row>
    <row r="3"/>
    <row r="4">
      <c r="A4" s="10" t="inlineStr">
        <is>
          <t>Начальные инвестиции (требуемая сумма)</t>
        </is>
      </c>
      <c r="B4" s="11" t="n">
        <v>0</v>
      </c>
    </row>
    <row r="5"/>
    <row r="6">
      <c r="A6" s="12" t="inlineStr">
        <is>
          <t>Стартовые затраты (единоразово)</t>
        </is>
      </c>
      <c r="B6" s="13" t="n"/>
      <c r="C6" s="13" t="n"/>
    </row>
    <row r="7" ht="21" customHeight="1">
      <c r="A7" s="14" t="inlineStr">
        <is>
          <t>Аренда и ремонт торговой точки</t>
        </is>
      </c>
      <c r="B7" s="11" t="n">
        <v>0</v>
      </c>
      <c r="C7" s="14" t="inlineStr"/>
    </row>
    <row r="8" ht="21" customHeight="1">
      <c r="A8" s="14" t="inlineStr">
        <is>
          <t>Торговое / кухонное оборудование</t>
        </is>
      </c>
      <c r="B8" s="11" t="n">
        <v>0</v>
      </c>
      <c r="C8" s="14" t="inlineStr"/>
    </row>
    <row r="9" ht="21" customHeight="1">
      <c r="A9" s="14" t="inlineStr">
        <is>
          <t>Первая товарная партия / запасы</t>
        </is>
      </c>
      <c r="B9" s="11" t="n">
        <v>0</v>
      </c>
      <c r="C9" s="14" t="inlineStr"/>
    </row>
    <row r="10" ht="21" customHeight="1">
      <c r="A10" s="14" t="inlineStr">
        <is>
          <t>Регистрация ККМ и разрешений</t>
        </is>
      </c>
      <c r="B10" s="11" t="n">
        <v>0</v>
      </c>
      <c r="C10" s="14" t="inlineStr">
        <is>
          <t>для общепита — санэпидзаключение</t>
        </is>
      </c>
    </row>
    <row r="11" ht="21" customHeight="1">
      <c r="A11" s="14" t="inlineStr">
        <is>
          <t>Вывеска и брендинг</t>
        </is>
      </c>
      <c r="B11" s="11" t="n">
        <v>0</v>
      </c>
      <c r="C11" s="14" t="inlineStr"/>
    </row>
    <row r="12" ht="21" customHeight="1">
      <c r="A12" s="14" t="inlineStr">
        <is>
          <t>Регистрация продавцом на маркетплейсе</t>
        </is>
      </c>
      <c r="B12" s="11" t="n">
        <v>0</v>
      </c>
      <c r="C12" s="14" t="inlineStr">
        <is>
          <t>при онлайн-канале продаж</t>
        </is>
      </c>
    </row>
    <row r="13">
      <c r="A13" s="15" t="inlineStr">
        <is>
          <t>Итого: стартовые затраты (единоразово)</t>
        </is>
      </c>
      <c r="B13" s="16">
        <f>SUM(B7:B12)</f>
        <v/>
      </c>
      <c r="C13" s="17" t="n"/>
    </row>
    <row r="14"/>
    <row r="15">
      <c r="A15" s="12" t="inlineStr">
        <is>
          <t>Ежемесячная выручка</t>
        </is>
      </c>
      <c r="B15" s="13" t="n"/>
      <c r="C15" s="13" t="n"/>
    </row>
    <row r="16" ht="21" customHeight="1">
      <c r="A16" s="14" t="inlineStr">
        <is>
          <t>Розничные продажи в точке</t>
        </is>
      </c>
      <c r="B16" s="11" t="n">
        <v>0</v>
      </c>
      <c r="C16" s="14" t="inlineStr"/>
    </row>
    <row r="17" ht="21" customHeight="1">
      <c r="A17" s="14" t="inlineStr">
        <is>
          <t>Онлайн-продажи / доставка</t>
        </is>
      </c>
      <c r="B17" s="11" t="n">
        <v>0</v>
      </c>
      <c r="C17" s="14" t="inlineStr">
        <is>
          <t>маркетплейсы и агрегаторы</t>
        </is>
      </c>
    </row>
    <row r="18" ht="21" customHeight="1">
      <c r="A18" s="14" t="inlineStr">
        <is>
          <t>Опт для небольших партнёров</t>
        </is>
      </c>
      <c r="B18" s="11" t="n">
        <v>0</v>
      </c>
      <c r="C18" s="14" t="inlineStr"/>
    </row>
    <row r="19" ht="21" customHeight="1">
      <c r="A19" s="14" t="inlineStr">
        <is>
          <t>Корпоративные заказы</t>
        </is>
      </c>
      <c r="B19" s="11" t="n">
        <v>0</v>
      </c>
      <c r="C19" s="14" t="inlineStr">
        <is>
          <t>для общепита — офисные обеды, кейтеринг</t>
        </is>
      </c>
    </row>
    <row r="20">
      <c r="A20" s="15" t="inlineStr">
        <is>
          <t>Итого: ежемесячная выручка</t>
        </is>
      </c>
      <c r="B20" s="16">
        <f>SUM(B16:B19)</f>
        <v/>
      </c>
      <c r="C20" s="17" t="n"/>
    </row>
    <row r="21"/>
    <row r="22">
      <c r="A22" s="12" t="inlineStr">
        <is>
          <t>Ежемесячные операционные расходы</t>
        </is>
      </c>
      <c r="B22" s="13" t="n"/>
      <c r="C22" s="13" t="n"/>
    </row>
    <row r="23" ht="21" customHeight="1">
      <c r="A23" s="14" t="inlineStr">
        <is>
          <t>Аренда</t>
        </is>
      </c>
      <c r="B23" s="11" t="n">
        <v>0</v>
      </c>
      <c r="C23" s="14" t="inlineStr"/>
    </row>
    <row r="24" ht="21" customHeight="1">
      <c r="A24" s="14" t="inlineStr">
        <is>
          <t>ФОТ персонала</t>
        </is>
      </c>
      <c r="B24" s="11" t="n">
        <v>0</v>
      </c>
      <c r="C24" s="14" t="inlineStr"/>
    </row>
    <row r="25" ht="21" customHeight="1">
      <c r="A25" s="14" t="inlineStr">
        <is>
          <t>Закупка товара / продуктов</t>
        </is>
      </c>
      <c r="B25" s="11" t="n">
        <v>0</v>
      </c>
      <c r="C25" s="14" t="inlineStr"/>
    </row>
    <row r="26" ht="21" customHeight="1">
      <c r="A26" s="14" t="inlineStr">
        <is>
          <t>Коммунальные услуги</t>
        </is>
      </c>
      <c r="B26" s="11" t="n">
        <v>0</v>
      </c>
      <c r="C26" s="14" t="inlineStr"/>
    </row>
    <row r="27" ht="21" customHeight="1">
      <c r="A27" s="14" t="inlineStr">
        <is>
          <t>Комиссии маркетплейсов/агрегаторов доставки</t>
        </is>
      </c>
      <c r="B27" s="11" t="n">
        <v>0</v>
      </c>
      <c r="C27" s="14" t="inlineStr"/>
    </row>
    <row r="28" ht="21" customHeight="1">
      <c r="A28" s="14" t="inlineStr">
        <is>
          <t>Налоги</t>
        </is>
      </c>
      <c r="B28" s="11" t="n">
        <v>0</v>
      </c>
      <c r="C28" s="14" t="inlineStr">
        <is>
          <t>включая кассовый учёт</t>
        </is>
      </c>
    </row>
    <row r="29">
      <c r="A29" s="15" t="inlineStr">
        <is>
          <t>Итого: ежемесячные операционные расходы</t>
        </is>
      </c>
      <c r="B29" s="16">
        <f>SUM(B23:B28)</f>
        <v/>
      </c>
      <c r="C29" s="17" t="n"/>
    </row>
    <row r="30"/>
    <row r="31">
      <c r="A31" s="10" t="inlineStr">
        <is>
          <t>Ежемесячная прибыль</t>
        </is>
      </c>
      <c r="B31" s="11">
        <f>B20-B29</f>
        <v/>
      </c>
    </row>
    <row r="32"/>
    <row r="33">
      <c r="A33" s="10" t="inlineStr">
        <is>
          <t>Срок выхода на окупаемость, мес.</t>
        </is>
      </c>
      <c r="B33" s="14">
        <f>IFERROR(B4/B31,"—")</f>
        <v/>
      </c>
      <c r="C33" s="14">
        <f> Начальные инвестиции / Ежемесячная прибыль</f>
        <v/>
      </c>
    </row>
    <row r="34">
      <c r="A34" s="10" t="inlineStr">
        <is>
          <t>Рентабельность продаж, %</t>
        </is>
      </c>
      <c r="B34" s="18">
        <f>IFERROR(B31/B20*100,"—")</f>
        <v/>
      </c>
      <c r="C34" s="14">
        <f> Ежемесячная прибыль / Выручка × 100%</f>
        <v/>
      </c>
    </row>
    <row r="35"/>
    <row r="36" ht="40" customHeight="1">
      <c r="A36" s="9" t="inlineStr">
        <is>
          <t>Это шаблон для ваших собственных расчётов, а не готовые рыночные данные — цифры нужно заполнить самостоятельно, исходя из реальных цен и условий вашего проекта. Там, где в комментарии указан ориентир или диапазон, — это иллюстрация для понимания масштаба статьи, а не проверенные рыночные данные.</t>
        </is>
      </c>
    </row>
  </sheetData>
  <mergeCells count="2">
    <mergeCell ref="A36:C3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2026-09-10T09:42:57Z</dcterms:created>
  <dcterms:modified xmlns:dcterms="http://purl.org/dc/terms/" xmlns:xsi="http://www.w3.org/2001/XMLSchema-instance" xsi:type="dcterms:W3CDTF">2026-09-10T09:42:57Z</dcterms:modified>
</cp:coreProperties>
</file>