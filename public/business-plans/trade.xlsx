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ТОРГОВЛЯ И ОБЩЕСТВЕННОЕ ПИТАНИЕ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«Торговля и общественное питание»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B16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36" customHeight="1">
      <c r="A10" s="9" t="inlineStr">
        <is>
          <t>Аренда и ремонт торговой точки</t>
        </is>
      </c>
      <c r="B10" s="6" t="n">
        <v>250000000</v>
      </c>
      <c r="C10" s="9" t="inlineStr">
        <is>
          <t>Пример: оценка: отделка ~70-90 м² под кофейню (барная стойка, электрика, интерьер) в спальном районе Ташкента</t>
        </is>
      </c>
    </row>
    <row r="11" ht="36" customHeight="1">
      <c r="A11" s="9" t="inlineStr">
        <is>
          <t>Торговое / кухонное оборудование</t>
        </is>
      </c>
      <c r="B11" s="6" t="n">
        <v>160000000</v>
      </c>
      <c r="C11" s="9" t="inlineStr">
        <is>
          <t>Пример: оценка: проф. кофемашина, кофемолки, холодильная витрина, POS-касса, мебель на 12 мест</t>
        </is>
      </c>
    </row>
    <row r="12" ht="36" customHeight="1">
      <c r="A12" s="9" t="inlineStr">
        <is>
          <t>Первая товарная партия / запасы</t>
        </is>
      </c>
      <c r="B12" s="6" t="n">
        <v>45000000</v>
      </c>
      <c r="C12" s="9" t="inlineStr">
        <is>
          <t>Пример: оценка: кофе, молоко, сиропы, стаканы, ингредиенты для выпечки на первый месяц</t>
        </is>
      </c>
    </row>
    <row r="13" ht="36" customHeight="1">
      <c r="A13" s="9" t="inlineStr">
        <is>
          <t>Регистрация ККМ и разрешений</t>
        </is>
      </c>
      <c r="B13" s="6" t="n">
        <v>8000000</v>
      </c>
      <c r="C13" s="9" t="inlineStr">
        <is>
          <t>для общепита — санэпидзаключение — Пример: оценка: онлайн-касса (ККМ), санитарные и торговые разрешения</t>
        </is>
      </c>
    </row>
    <row r="14" ht="36" customHeight="1">
      <c r="A14" s="9" t="inlineStr">
        <is>
          <t>Вывеска и брендинг</t>
        </is>
      </c>
      <c r="B14" s="6" t="n">
        <v>12000000</v>
      </c>
      <c r="C14" s="9" t="inlineStr">
        <is>
          <t>Пример: оценка: наружная вывеска, дизайн меню/упаковки, форма персонала</t>
        </is>
      </c>
    </row>
    <row r="15" ht="36" customHeight="1">
      <c r="A15" s="9" t="inlineStr">
        <is>
          <t>Регистрация продавцом на маркетплейсе</t>
        </is>
      </c>
      <c r="B15" s="6" t="n">
        <v>5000000</v>
      </c>
      <c r="C15" s="9" t="inlineStr">
        <is>
          <t>при онлайн-канале продаж — Пример: оценка: подключение к агрегаторам доставки (Yandex Eats, Uzum Tezkor, Wolt)</t>
        </is>
      </c>
    </row>
    <row r="16">
      <c r="A16" s="10" t="inlineStr">
        <is>
          <t>Итого: стартовые затраты (единоразово)</t>
        </is>
      </c>
      <c r="B16" s="11">
        <f>SUM(B10:B15)</f>
        <v/>
      </c>
      <c r="C16" s="12" t="n"/>
    </row>
    <row r="17"/>
    <row r="18">
      <c r="A18" s="7" t="inlineStr">
        <is>
          <t>Ежемесячная выручка</t>
        </is>
      </c>
      <c r="B18" s="8" t="n"/>
      <c r="C18" s="8" t="n"/>
    </row>
    <row r="19" ht="36" customHeight="1">
      <c r="A19" s="9" t="inlineStr">
        <is>
          <t>Розничные продажи в точке</t>
        </is>
      </c>
      <c r="B19" s="6" t="n">
        <v>88200000</v>
      </c>
      <c r="C19" s="9" t="inlineStr">
        <is>
          <t>Пример: 70% от базовой выручки (средний чек 35 тыс. сум × 120 чеков/день × 30 дн = 126 млн сум/мес — из резюме)</t>
        </is>
      </c>
    </row>
    <row r="20" ht="36" customHeight="1">
      <c r="A20" s="9" t="inlineStr">
        <is>
          <t>Онлайн-продажи / доставка</t>
        </is>
      </c>
      <c r="B20" s="6" t="n">
        <v>25200000</v>
      </c>
      <c r="C20" s="9" t="inlineStr">
        <is>
          <t>маркетплейсы и агрегаторы — Пример: 20% от базовой выручки — агрегаторы доставки и соцсети/telegram-заказы</t>
        </is>
      </c>
    </row>
    <row r="21" ht="36" customHeight="1">
      <c r="A21" s="9" t="inlineStr">
        <is>
          <t>Опт для небольших партнёров</t>
        </is>
      </c>
      <c r="B21" s="6" t="n">
        <v>7560000</v>
      </c>
      <c r="C21" s="9" t="inlineStr">
        <is>
          <t>Пример: 6% от базовой выручки — продажа выпечки/кофе небольшим офисам поблизости</t>
        </is>
      </c>
    </row>
    <row r="22" ht="36" customHeight="1">
      <c r="A22" s="9" t="inlineStr">
        <is>
          <t>Корпоративные заказы</t>
        </is>
      </c>
      <c r="B22" s="6" t="n">
        <v>5040000</v>
      </c>
      <c r="C22" s="9" t="inlineStr">
        <is>
          <t>для общепита — офисные обеды, кейтеринг — Пример: 4% от базовой выручки — кейтеринг на офисные встречи по соседству</t>
        </is>
      </c>
    </row>
    <row r="23">
      <c r="A23" s="10" t="inlineStr">
        <is>
          <t>Итого: ежемесячная выручка</t>
        </is>
      </c>
      <c r="B23" s="11">
        <f>SUM(B19:B22)</f>
        <v/>
      </c>
      <c r="C23" s="12" t="n"/>
    </row>
    <row r="24"/>
    <row r="25">
      <c r="A25" s="7" t="inlineStr">
        <is>
          <t>Ежемесячные операционные расходы</t>
        </is>
      </c>
      <c r="B25" s="8" t="n"/>
      <c r="C25" s="8" t="n"/>
    </row>
    <row r="26" ht="36" customHeight="1">
      <c r="A26" s="9" t="inlineStr">
        <is>
          <t>Аренда</t>
        </is>
      </c>
      <c r="B26" s="6" t="n">
        <v>18000000</v>
      </c>
      <c r="C26" s="9" t="inlineStr">
        <is>
          <t>Пример: оценка аренды ~70-90 м² в спальном районе Ташкента с хорошей проходимостью</t>
        </is>
      </c>
    </row>
    <row r="27" ht="66" customHeight="1">
      <c r="A27" s="9" t="inlineStr">
        <is>
          <t>ФОТ персонала</t>
        </is>
      </c>
      <c r="B27" s="6" t="n">
        <v>26000000</v>
      </c>
      <c r="C27" s="9" t="inlineStr">
        <is>
          <t>Пример: 2 бариста посменно (~4,5 млн/чел.), кондитер part-time (~3,5 млн), уборщица part-time (~2 млн); ориентир — средняя зарплата по Ташкенту 10,38 млн / по стране 6,16 млн сум (gazeta.uz, окт. 2025)</t>
        </is>
      </c>
    </row>
    <row r="28" ht="36" customHeight="1">
      <c r="A28" s="9" t="inlineStr">
        <is>
          <t>Закупка товара / продуктов</t>
        </is>
      </c>
      <c r="B28" s="6" t="n">
        <v>40300000</v>
      </c>
      <c r="C28" s="9" t="inlineStr">
        <is>
          <t>Пример: COGS ≈32% от выручки — типичная доля себестоимости зерна, молока, сиропов и выпечки для кофеен to-go</t>
        </is>
      </c>
    </row>
    <row r="29" ht="36" customHeight="1">
      <c r="A29" s="9" t="inlineStr">
        <is>
          <t>Коммунальные услуги</t>
        </is>
      </c>
      <c r="B29" s="6" t="n">
        <v>5000000</v>
      </c>
      <c r="C29" s="9" t="inlineStr">
        <is>
          <t>Пример: оценка: электроэнергия (кофемашина, холодильники), вода, отопление</t>
        </is>
      </c>
    </row>
    <row r="30" ht="36" customHeight="1">
      <c r="A30" s="9" t="inlineStr">
        <is>
          <t>Комиссии маркетплейсов/агрегаторов доставки</t>
        </is>
      </c>
      <c r="B30" s="6" t="n">
        <v>6300000</v>
      </c>
      <c r="C30" s="9" t="inlineStr">
        <is>
          <t>Пример: ~25% комиссия с выручки через доставку — типичная комиссия Yandex Eats/аналогов</t>
        </is>
      </c>
    </row>
    <row r="31" ht="51" customHeight="1">
      <c r="A31" s="9" t="inlineStr">
        <is>
          <t>Налоги</t>
        </is>
      </c>
      <c r="B31" s="6" t="n">
        <v>1700000</v>
      </c>
      <c r="C31" s="9" t="inlineStr">
        <is>
          <t>включая кассовый учёт — Пример: налог с оборота 1% для ИП/самозанятых (ставка с 2026 г., azma.uz) + фиксированный соц. налог от 1 БРВ ≈412 тыс. сум/мес</t>
        </is>
      </c>
    </row>
    <row r="32">
      <c r="A32" s="10" t="inlineStr">
        <is>
          <t>Итого: ежемесячные операционные расходы</t>
        </is>
      </c>
      <c r="B32" s="11">
        <f>SUM(B26:B31)</f>
        <v/>
      </c>
      <c r="C32" s="12" t="n"/>
    </row>
    <row r="33"/>
    <row r="34">
      <c r="A34" s="5" t="inlineStr">
        <is>
          <t>Ежемесячная прибыль</t>
        </is>
      </c>
      <c r="B34" s="6">
        <f>B23-B32</f>
        <v/>
      </c>
    </row>
    <row r="35"/>
    <row r="36">
      <c r="A36" s="5" t="inlineStr">
        <is>
          <t>Срок выхода на окупаемость, мес.</t>
        </is>
      </c>
      <c r="B36" s="9">
        <f>IFERROR(B7/B34,"—")</f>
        <v/>
      </c>
      <c r="C36" s="9" t="inlineStr">
        <is>
          <t>Формула: Начальные инвестиции ÷ Ежемесячная прибыль</t>
        </is>
      </c>
    </row>
    <row r="37">
      <c r="A37" s="5" t="inlineStr">
        <is>
          <t>Рентабельность продаж, %</t>
        </is>
      </c>
      <c r="B37" s="13">
        <f>IFERROR(B34/B23*100,"—")</f>
        <v/>
      </c>
      <c r="C37" s="9" t="inlineStr">
        <is>
          <t>Формула: Ежемесячная прибыль ÷ Выручка × 100%</t>
        </is>
      </c>
    </row>
    <row r="38"/>
    <row r="39" ht="50" customHeight="1">
      <c r="A39" s="14" t="inlineStr">
        <is>
          <t>Как считался этот пример: Сумма стартовых затрат — 480 млн сум, точно соответствует резюме. Прибыль ≈28,7 млн сум/мес даёт окупаемость ≈16,7 мес. — близко к заявленным ~16 мес.</t>
        </is>
      </c>
    </row>
    <row r="40"/>
    <row r="41" ht="55" customHeight="1">
      <c r="A41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41:C41"/>
    <mergeCell ref="A2:C2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