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Финансовый план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8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b val="1"/>
      <color rgb="00FFFFFF"/>
      <sz val="12"/>
    </font>
    <font>
      <i val="1"/>
      <color rgb="0064748B"/>
    </font>
    <font>
      <b val="1"/>
    </font>
    <font>
      <b val="1"/>
      <i val="1"/>
    </font>
    <font>
      <i val="1"/>
      <color rgb="001D4ED8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pivotButton="0" quotePrefix="0" xfId="0"/>
    <xf numFmtId="0" fontId="2" fillId="0" borderId="1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6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1" t="inlineStr">
        <is>
          <t>ФИНАНСОВЫЙ ПЛАН: ТВОРЧЕСКИЕ ИНДУСТРИИ — ПРИМЕР РАСЧЁТА</t>
        </is>
      </c>
    </row>
    <row r="2" ht="65" customHeight="1">
      <c r="A2" s="2" t="inlineStr">
        <is>
          <t>Этот файл дополняет текстовый документ бизнес-плана MoliyaHub для отрасли «Творческие индустрии» (резюме, анализ рынка, маркетинговый/операционный/организационный план, риски — в Word-файле с тем же названием). Здесь — расчётная часть с рабочими формулами, уже заполненная цифрами ПРИМЕРА (иллюстративная компания из резюме бизнес-плана, не реальный заёмщик) — чтобы показать порядок величины и логику расчёта. Перед подачей в банк или инвестору замените суммы на данные своего проекта.</t>
        </is>
      </c>
    </row>
    <row r="3"/>
    <row r="4">
      <c r="A4" s="3" t="inlineStr">
        <is>
          <t>Статья</t>
        </is>
      </c>
      <c r="B4" s="3" t="inlineStr">
        <is>
          <t>Сумма, сум</t>
        </is>
      </c>
      <c r="C4" s="3" t="inlineStr">
        <is>
          <t>Комментарий</t>
        </is>
      </c>
    </row>
    <row r="5" ht="45" customHeight="1">
      <c r="A5" s="4" t="inlineStr">
        <is>
          <t>Столбец «Сумма, сум» уже заполнен примером расчёта для иллюстративной компании из этого бизнес-плана — на основе рыночных ориентиров 2025-2026 года (там, где источник известен — со ссылкой в комментарии) или экспертной оценки порядка величины (это тоже отмечено). Итоги, прибыль, срок окупаемости и рентабельность ниже пересчитаются автоматически (это формулы). Замените суммы в столбце B на данные вашего собственного проекта — тогда пересчитается всё.</t>
        </is>
      </c>
    </row>
    <row r="6"/>
    <row r="7">
      <c r="A7" s="5" t="inlineStr">
        <is>
          <t>Начальные инвестиции (требуемая сумма)</t>
        </is>
      </c>
      <c r="B7" s="6">
        <f>B15</f>
        <v/>
      </c>
    </row>
    <row r="8"/>
    <row r="9">
      <c r="A9" s="7" t="inlineStr">
        <is>
          <t>Стартовые затраты (единоразово)</t>
        </is>
      </c>
      <c r="B9" s="8" t="n"/>
      <c r="C9" s="8" t="n"/>
    </row>
    <row r="10" ht="36" customHeight="1">
      <c r="A10" s="9" t="inlineStr">
        <is>
          <t>Обустройство мастерской</t>
        </is>
      </c>
      <c r="B10" s="6" t="n">
        <v>70000000</v>
      </c>
      <c r="C10" s="9" t="inlineStr">
        <is>
          <t>Пример: оценка: ремонт мастерской и шоурума (~100 м²) в туристической локации Ташкента, электрика/вентиляция под печь</t>
        </is>
      </c>
    </row>
    <row r="11" ht="66" customHeight="1">
      <c r="A11" s="9" t="inlineStr">
        <is>
          <t>Инструменты, материалы и оборудование</t>
        </is>
      </c>
      <c r="B11" s="6" t="n">
        <v>95000000</v>
      </c>
      <c r="C11" s="9" t="inlineStr">
        <is>
          <t>например, печь для обжига керамики — Пример: печь для обжига керамики (~20-25 млн сум, по аналогии с ценами производителей СНГ) + 3 гончарных круга, инструменты, первая партия глины и глазурей</t>
        </is>
      </c>
    </row>
    <row r="12" ht="36" customHeight="1">
      <c r="A12" s="9" t="inlineStr">
        <is>
          <t>Регистрация (в т.ч. статус ремесленника, если применимо)</t>
        </is>
      </c>
      <c r="B12" s="6" t="n">
        <v>3000000</v>
      </c>
      <c r="C12" s="9" t="inlineStr">
        <is>
          <t>Пример: оценка: регистрация ИП/статус ремесленника (упрощённый налоговый режим для промыслов)</t>
        </is>
      </c>
    </row>
    <row r="13" ht="36" customHeight="1">
      <c r="A13" s="9" t="inlineStr">
        <is>
          <t>Упаковка и брендинг</t>
        </is>
      </c>
      <c r="B13" s="6" t="n">
        <v>17000000</v>
      </c>
      <c r="C13" s="9" t="inlineStr">
        <is>
          <t>Пример: оценка: логотип и фирменный стиль, бирки, упаковка, сайт-визитка</t>
        </is>
      </c>
    </row>
    <row r="14" ht="51" customHeight="1">
      <c r="A14" s="9" t="inlineStr">
        <is>
          <t>Продвижение на маркетплейсах</t>
        </is>
      </c>
      <c r="B14" s="6" t="n">
        <v>35000000</v>
      </c>
      <c r="C14" s="9" t="inlineStr">
        <is>
          <t>Etsy и др., включая профессиональную фотосъёмку — Пример: оценка: настройка магазина на Etsy, проф. фотосъёмка товаров, первые Etsy Ads</t>
        </is>
      </c>
    </row>
    <row r="15">
      <c r="A15" s="10" t="inlineStr">
        <is>
          <t>Итого: стартовые затраты (единоразово)</t>
        </is>
      </c>
      <c r="B15" s="11">
        <f>SUM(B10:B14)</f>
        <v/>
      </c>
      <c r="C15" s="12" t="n"/>
    </row>
    <row r="16"/>
    <row r="17">
      <c r="A17" s="7" t="inlineStr">
        <is>
          <t>Ежемесячная выручка</t>
        </is>
      </c>
      <c r="B17" s="8" t="n"/>
      <c r="C17" s="8" t="n"/>
    </row>
    <row r="18" ht="36" customHeight="1">
      <c r="A18" s="9" t="inlineStr">
        <is>
          <t>Продажа изделий туристам / в шоуруме</t>
        </is>
      </c>
      <c r="B18" s="6" t="n">
        <v>15000000</v>
      </c>
      <c r="C18" s="9" t="inlineStr">
        <is>
          <t>Пример: ~100 изделий/мес × ~150 тыс. сум средняя цена (пиалы, ляганы) для туристов — локальные цены ниже экспортных</t>
        </is>
      </c>
    </row>
    <row r="19" ht="51" customHeight="1">
      <c r="A19" s="9" t="inlineStr">
        <is>
          <t>Онлайн-продажи и экспорт через маркетплейсы</t>
        </is>
      </c>
      <c r="B19" s="6" t="n">
        <v>34440000</v>
      </c>
      <c r="C19" s="9" t="inlineStr">
        <is>
          <t>Пример: ~42 заказа/мес × ~820 тыс. сум (~65$) — на основе цен на Etsy: декоративные ляганы $96-162, мелкие изделия $20-50 (etsy.com)</t>
        </is>
      </c>
    </row>
    <row r="20" ht="36" customHeight="1">
      <c r="A20" s="9" t="inlineStr">
        <is>
          <t>Мастер-классы для туристов</t>
        </is>
      </c>
      <c r="B20" s="6" t="n">
        <v>4500000</v>
      </c>
      <c r="C20" s="9" t="inlineStr">
        <is>
          <t>Пример: ~30 участников/мес × 150 тыс. сум — оценка на основе типичных цен на гончарные мастер-классы</t>
        </is>
      </c>
    </row>
    <row r="21" ht="36" customHeight="1">
      <c r="A21" s="9" t="inlineStr">
        <is>
          <t>Индивидуальные и корпоративные заказы</t>
        </is>
      </c>
      <c r="B21" s="6" t="n">
        <v>7500000</v>
      </c>
      <c r="C21" s="9" t="inlineStr">
        <is>
          <t>подарочная/сувенирная продукция — Пример: 2-3 заказа/мес × ~3 млн сум — сервизы для отелей/ресторанов, подарочные наборы</t>
        </is>
      </c>
    </row>
    <row r="22">
      <c r="A22" s="10" t="inlineStr">
        <is>
          <t>Итого: ежемесячная выручка</t>
        </is>
      </c>
      <c r="B22" s="11">
        <f>SUM(B18:B21)</f>
        <v/>
      </c>
      <c r="C22" s="12" t="n"/>
    </row>
    <row r="23"/>
    <row r="24">
      <c r="A24" s="7" t="inlineStr">
        <is>
          <t>Ежемесячные операционные расходы</t>
        </is>
      </c>
      <c r="B24" s="8" t="n"/>
      <c r="C24" s="8" t="n"/>
    </row>
    <row r="25" ht="36" customHeight="1">
      <c r="A25" s="9" t="inlineStr">
        <is>
          <t>Материалы и сырьё</t>
        </is>
      </c>
      <c r="B25" s="6" t="n">
        <v>15000000</v>
      </c>
      <c r="C25" s="9" t="inlineStr">
        <is>
          <t>Пример: оценка: глина, глазури, красители, топливо/электричество для печи — ~24% от выручки</t>
        </is>
      </c>
    </row>
    <row r="26" ht="51" customHeight="1">
      <c r="A26" s="9" t="inlineStr">
        <is>
          <t>ФОТ мастеров</t>
        </is>
      </c>
      <c r="B26" s="6" t="n">
        <v>9500000</v>
      </c>
      <c r="C26" s="9" t="inlineStr">
        <is>
          <t>Пример: 2 подмастерья по 3,5 млн + менеджер по онлайн-продажам part-time 2,5 млн; мастер-владелец получает доход как прибыль бизнеса</t>
        </is>
      </c>
    </row>
    <row r="27" ht="36" customHeight="1">
      <c r="A27" s="9" t="inlineStr">
        <is>
          <t>Аренда мастерской / шоурума</t>
        </is>
      </c>
      <c r="B27" s="6" t="n">
        <v>12000000</v>
      </c>
      <c r="C27" s="9" t="inlineStr">
        <is>
          <t>Пример: оценка: ~100 м² под мастерскую и шоурум в туристической локации Ташкента</t>
        </is>
      </c>
    </row>
    <row r="28" ht="36" customHeight="1">
      <c r="A28" s="9" t="inlineStr">
        <is>
          <t>Упаковка и логистика (в т.ч. международная)</t>
        </is>
      </c>
      <c r="B28" s="6" t="n">
        <v>8000000</v>
      </c>
      <c r="C28" s="9" t="inlineStr">
        <is>
          <t>Пример: оценка: упаковочные материалы + межд. доставка (EMS/DHL) для ~40 экспортных заказов/мес по ~12-15$/посылка</t>
        </is>
      </c>
    </row>
    <row r="29" ht="36" customHeight="1">
      <c r="A29" s="9" t="inlineStr">
        <is>
          <t>Маркетинг и участие в выставках</t>
        </is>
      </c>
      <c r="B29" s="6" t="n">
        <v>6000000</v>
      </c>
      <c r="C29" s="9" t="inlineStr">
        <is>
          <t>Пример: оценка: Etsy Ads, участие в ремесленных выставках и ярмарках</t>
        </is>
      </c>
    </row>
    <row r="30">
      <c r="A30" s="10" t="inlineStr">
        <is>
          <t>Итого: ежемесячные операционные расходы</t>
        </is>
      </c>
      <c r="B30" s="11">
        <f>SUM(B25:B29)</f>
        <v/>
      </c>
      <c r="C30" s="12" t="n"/>
    </row>
    <row r="31"/>
    <row r="32">
      <c r="A32" s="5" t="inlineStr">
        <is>
          <t>Ежемесячная прибыль</t>
        </is>
      </c>
      <c r="B32" s="6">
        <f>B22-B30</f>
        <v/>
      </c>
    </row>
    <row r="33"/>
    <row r="34">
      <c r="A34" s="5" t="inlineStr">
        <is>
          <t>Срок выхода на окупаемость, мес.</t>
        </is>
      </c>
      <c r="B34" s="9">
        <f>IFERROR(B7/B32,"—")</f>
        <v/>
      </c>
      <c r="C34" s="9" t="inlineStr">
        <is>
          <t>Формула: Начальные инвестиции ÷ Ежемесячная прибыль</t>
        </is>
      </c>
    </row>
    <row r="35">
      <c r="A35" s="5" t="inlineStr">
        <is>
          <t>Рентабельность продаж, %</t>
        </is>
      </c>
      <c r="B35" s="13">
        <f>IFERROR(B32/B22*100,"—")</f>
        <v/>
      </c>
      <c r="C35" s="9" t="inlineStr">
        <is>
          <t>Формула: Ежемесячная прибыль ÷ Выручка × 100%</t>
        </is>
      </c>
    </row>
    <row r="36"/>
    <row r="37" ht="65" customHeight="1">
      <c r="A37" s="14" t="inlineStr">
        <is>
          <t>Как считался этот пример: Инвестиции 220 млн сум складываются из обустройства мастерской/шоурума, оборудования (вкл. печь), регистрации, упаковки/брендинга и продвижения на маркетплейсах. Прибыль ≈10,9 млн сум/мес даёт окупаемость ≈20,1 мес. — совпадает с заявленным ориентиром ~20 мес.</t>
        </is>
      </c>
    </row>
    <row r="38"/>
    <row r="39" ht="55" customHeight="1">
      <c r="A39" s="4" t="inlineStr">
        <is>
          <t>Это пример расчёта для иллюстративной компании, а не готовая заявка на кредит и не проверенные рыночные данные о реальном бизнесе. Суммы в столбце B — рабочие формулы: замените их на цифры вашего проекта, и итоги, прибыль, срок окупаемости и рентабельность пересчитаются автоматически. Там, где в комментарии указан источник — это ориентир на 2025-2026 год, проверяйте актуальность перед подачей документов в банк; где указана «экспертная оценка» — это иллюстрация порядка величины, а не факт.</t>
        </is>
      </c>
    </row>
  </sheetData>
  <mergeCells count="4">
    <mergeCell ref="A5:C5"/>
    <mergeCell ref="A37:C37"/>
    <mergeCell ref="A2:C2"/>
    <mergeCell ref="A39:C3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2026-09-12T07:41:32Z</dcterms:created>
  <dcterms:modified xmlns:dcterms="http://purl.org/dc/terms/" xmlns:xsi="http://www.w3.org/2001/XMLSchema-instance" xsi:type="dcterms:W3CDTF">2026-09-12T07:41:32Z</dcterms:modified>
</cp:coreProperties>
</file>