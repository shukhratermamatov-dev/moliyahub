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итульный лист" sheetId="1" state="visible" r:id="rId1"/>
    <sheet xmlns:r="http://schemas.openxmlformats.org/officeDocument/2006/relationships" name="Резюме проекта" sheetId="2" state="visible" r:id="rId2"/>
    <sheet xmlns:r="http://schemas.openxmlformats.org/officeDocument/2006/relationships" name="Анализ рынка" sheetId="3" state="visible" r:id="rId3"/>
    <sheet xmlns:r="http://schemas.openxmlformats.org/officeDocument/2006/relationships" name="План и риски" sheetId="4" state="visible" r:id="rId4"/>
    <sheet xmlns:r="http://schemas.openxmlformats.org/officeDocument/2006/relationships" name="Финансовый пла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sz val="12"/>
    </font>
    <font>
      <b val="1"/>
      <color rgb="0014532D"/>
      <sz val="13"/>
    </font>
    <font>
      <i val="1"/>
      <color rgb="001D4ED8"/>
    </font>
    <font>
      <b val="1"/>
    </font>
    <font>
      <b val="1"/>
      <color rgb="00FFFFFF"/>
      <sz val="12"/>
    </font>
    <font>
      <i val="1"/>
      <color rgb="0064748B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pivotButton="0" quotePrefix="0" xfId="0"/>
    <xf numFmtId="0" fontId="8" fillId="0" borderId="1" applyAlignment="1" pivotButton="0" quotePrefix="0" xfId="0">
      <alignment vertical="top" wrapText="1"/>
    </xf>
    <xf numFmtId="0" fontId="6" fillId="0" borderId="1" pivotButton="0" quotePrefix="0" xfId="0"/>
    <xf numFmtId="3" fontId="0" fillId="0" borderId="1" pivotButton="0" quotePrefix="0" xfId="0"/>
    <xf numFmtId="0" fontId="6" fillId="4" borderId="1" pivotButton="0" quotePrefix="0" xfId="0"/>
    <xf numFmtId="0" fontId="0" fillId="4" borderId="0" pivotButton="0" quotePrefix="0" xfId="0"/>
    <xf numFmtId="0" fontId="0" fillId="0" borderId="1" pivotButton="0" quotePrefix="0" xfId="0"/>
    <xf numFmtId="0" fontId="9" fillId="5" borderId="1" pivotButton="0" quotePrefix="0" xfId="0"/>
    <xf numFmtId="3" fontId="0" fillId="5" borderId="1" pivotButton="0" quotePrefix="0" xfId="0"/>
    <xf numFmtId="0" fontId="0" fillId="5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БИЗНЕС-ПЛАН: ТВОРЧЕСКИЕ ИНДУСТРИИ</t>
        </is>
      </c>
    </row>
    <row r="2">
      <c r="A2" s="2" t="inlineStr">
        <is>
          <t>Пример: мастерская народных промыслов или дизайн-студия с экспортным фокусом</t>
        </is>
      </c>
    </row>
    <row r="4">
      <c r="A4" s="3" t="inlineStr">
        <is>
          <t>Название проекта: [впишите]</t>
        </is>
      </c>
    </row>
    <row r="5">
      <c r="A5" s="3" t="inlineStr">
        <is>
          <t>Автор / компания: [впишите]</t>
        </is>
      </c>
    </row>
    <row r="6">
      <c r="A6" s="3" t="inlineStr">
        <is>
          <t>Регион реализации: [впишите]</t>
        </is>
      </c>
    </row>
    <row r="7">
      <c r="A7" s="3" t="inlineStr">
        <is>
          <t>Требуемая сумма инвестиций, сум: [впишите]</t>
        </is>
      </c>
    </row>
    <row r="8">
      <c r="A8" s="3" t="inlineStr">
        <is>
          <t>Дата: [впишите]</t>
        </is>
      </c>
    </row>
    <row r="10" ht="90" customHeight="1">
      <c r="A10" s="4" t="inlineStr">
        <is>
          <t>Это готовый образец (шаблон) бизнес-плана MoliyaHub для отрасли «Творческие индустрии». Замените текст в квадратных скобках [впишите] и примеры на данные вашего проекта, добавьте или удалите строки в таблицах по необходимости. Абзацы, отмеченные как «ПРИМЕР», — иллюстрация формата ответа, а не факты о реальной компании; замените их своими данными. Суммы в листе «Финансовый план» пересчитываются автоматически по формулам — просто впишите свои цифры в столбец «Сумма, сум».</t>
        </is>
      </c>
    </row>
  </sheetData>
  <mergeCells count="1"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Резюме проекта</t>
        </is>
      </c>
    </row>
    <row r="2" ht="74" customHeight="1">
      <c r="A2" s="6" t="inlineStr">
        <is>
          <t>ПРИМЕР (иллюстрация, не данные реальной компании): Мастерская «Rishton Sirlari» производит и продаёт риштанскую керамику ручной работы туристам в шоуруме и на Etsy для зарубежных покупателей. Требуемые инвестиции — 220 млн сум на обустройство мастерской, печь для обжига и первую партию материалов; окупаемость — около 20 месяцев при комбинированных офлайн- и онлайн-продажах.</t>
        </is>
      </c>
    </row>
    <row r="3" ht="44" customHeight="1">
      <c r="A3" s="4" t="inlineStr">
        <is>
          <t>[Впишите] В 5-8 предложениях: суть проекта, какую проблему решает, для кого, требуемая сумма инвестиций и на что она пойдёт, ожидаемый результат (выручка/прибыль/срок окупаемости).</t>
        </is>
      </c>
    </row>
    <row r="5">
      <c r="A5" s="5" t="inlineStr">
        <is>
          <t>Описание компании / проекта</t>
        </is>
      </c>
    </row>
    <row r="6" ht="70" customHeight="1">
      <c r="A6" s="4" t="inlineStr">
        <is>
          <t>[Впишите] Организационно-правовая форма (ИП/ООО/фермерское хозяйство), команда, текущий статус проекта (идея / MVP / действующий бизнес), уникальное торговое предложение.</t>
        </is>
      </c>
    </row>
  </sheetData>
  <mergeCells count="3">
    <mergeCell ref="A3:D3"/>
    <mergeCell ref="A2:D2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Анализ рынка: Творческие индустрии</t>
        </is>
      </c>
    </row>
    <row r="2" ht="59" customHeight="1">
      <c r="A2" s="4" t="inlineStr">
        <is>
          <t>•  Узбекистан — признанный центр традиционных ремёсел Шёлкового пути (керамика Риштана и Гиждувана, вышивка сюзане, шёлкоткачество, чеканка, миниатюра) с растущим интересом туристов и международных покупателей на фоне общего бума въездного туризма в стране.</t>
        </is>
      </c>
    </row>
    <row r="3" ht="59" customHeight="1">
      <c r="A3" s="4" t="inlineStr">
        <is>
          <t>•  Государство развивает креативную экономику как отдельное направление: действуют программы поддержки ремесленничества и участия в международных выставках/ярмарках, обсуждаются меры по защите и продвижению статуса мастера-ремесленника.</t>
        </is>
      </c>
    </row>
    <row r="4" ht="74" customHeight="1">
      <c r="A4" s="4" t="inlineStr">
        <is>
          <t>•  Растёт интерес к изделиям ручной работы на международных маркетплейсах (Etsy и аналогичные площадки) — узбекское сюзане и керамика уже продаются иностранным покупателям через такие каналы, но успех сильно зависит от качества карточки товара, фото и логистики, а не только от аутентичности изделия.</t>
        </is>
      </c>
    </row>
    <row r="5" ht="44" customHeight="1">
      <c r="A5" s="4" t="inlineStr">
        <is>
          <t>•  Туристический поток (см. отрасль «Туризм») создаёт растущий офлайн-канал сбыта — сувенирные и подарочные изделия, мастер-классы для туристов в Самарканде, Бухаре и Хиве.</t>
        </is>
      </c>
    </row>
    <row r="6" ht="59" customHeight="1">
      <c r="A6" s="4" t="inlineStr">
        <is>
          <t>•  Кино- и медиаиндустрия Узбекистана развивается на фоне интереса к съёмкам на локациях страны и поддержки национального кинопроизводства — но это капиталоёмкий и высококонкурентный сегмент, требующий отдельной профессиональной экспертизы.</t>
        </is>
      </c>
    </row>
    <row r="7" ht="74" customHeight="1">
      <c r="A7" s="4" t="inlineStr">
        <is>
          <t>•  Для сравнения: соседние страны с богатым ремесленным наследием (Турция, Иран) давно выстроили экспортные бренды вокруг ковров, керамики и текстиля с узнаваемой международной репутацией — узбекским мастерам и брендам ещё предстоит выстроить сопоставимое международное узнавание, что делает маркетинг и storytelling особенно важными.</t>
        </is>
      </c>
    </row>
    <row r="8" ht="44" customHeight="1">
      <c r="A8" s="4" t="inlineStr">
        <is>
          <t>•  [Впишите] Конкретную нишу (ремесло/дизайн/медиа), целевую аудиторию и каналы сбыта — уточняйте по опыту действующих мастеров и профильных ассоциаций ремесленников.</t>
        </is>
      </c>
    </row>
    <row r="10">
      <c r="A10" s="5" t="inlineStr">
        <is>
          <t>Конкуренты</t>
        </is>
      </c>
    </row>
    <row r="11" ht="45" customHeight="1">
      <c r="A11" s="4" t="inlineStr">
        <is>
          <t>[Впишите] Список из 3-5 прямых конкурентов, их сильные и слабые стороны, чем вы отличаетесь.</t>
        </is>
      </c>
    </row>
    <row r="12">
      <c r="A12" s="5" t="inlineStr">
        <is>
          <t>Целевая аудитория</t>
        </is>
      </c>
    </row>
    <row r="13" ht="45" customHeight="1">
      <c r="A13" s="4" t="inlineStr">
        <is>
          <t>[Впишите] Портрет основного клиента: кто он, что для него важно при выборе, где его найти.</t>
        </is>
      </c>
    </row>
  </sheetData>
  <mergeCells count="9">
    <mergeCell ref="A5:D5"/>
    <mergeCell ref="A8:D8"/>
    <mergeCell ref="A6:D6"/>
    <mergeCell ref="A4:D4"/>
    <mergeCell ref="A3:D3"/>
    <mergeCell ref="A7:D7"/>
    <mergeCell ref="A2:D2"/>
    <mergeCell ref="A11:D1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Маркетинговый план</t>
        </is>
      </c>
    </row>
    <row r="2" ht="74" customHeight="1">
      <c r="A2" s="6" t="inlineStr">
        <is>
          <t>ПРИМЕР (иллюстрация, не данные реальной компании): Цена — премиальный сегмент за счёт ручной работы и уникальности каждого изделия; продвижение — витрина-шоурум на туристическом маршруте с мастер-классами для гостей, карточки товаров на Etsy с профессиональными фото и историей мастера, сотрудничество с гидами и турагентствами за комиссию.</t>
        </is>
      </c>
    </row>
    <row r="3" ht="30" customHeight="1">
      <c r="A3" s="4" t="inlineStr">
        <is>
          <t>[Впишите] Ценообразование, каналы продвижения и продаж, план привлечения первых клиентов.</t>
        </is>
      </c>
    </row>
    <row r="4">
      <c r="A4" s="5" t="inlineStr">
        <is>
          <t>Операционный план</t>
        </is>
      </c>
    </row>
    <row r="5" ht="74" customHeight="1">
      <c r="A5" s="6" t="inlineStr">
        <is>
          <t>ПРИМЕР (иллюстрация, не данные реальной компании): Цикл: формовка изделия → сушка → роспись → обжиг в печи → упаковка → продажа в шоуруме или отправка по заказу с Etsy. Ключевые поставщики — местная глина и природные пигменты. Международная отправка требует надёжного партнёра по логистике и корректного оформления для таможни.</t>
        </is>
      </c>
    </row>
    <row r="6" ht="44" customHeight="1">
      <c r="A6" s="4" t="inlineStr">
        <is>
          <t>[Впишите] Процесс производства/оказания услуги, ключевые поставщики, оборудование, необходимые лицензии и разрешения.</t>
        </is>
      </c>
    </row>
    <row r="7">
      <c r="A7" s="5" t="inlineStr">
        <is>
          <t>Организационный план</t>
        </is>
      </c>
    </row>
    <row r="8" ht="59" customHeight="1">
      <c r="A8" s="6" t="inlineStr">
        <is>
          <t>ПРИМЕР (иллюстрация, не данные реальной компании): Мастер-владелец, 2 подмастерья, менеджер по онлайн-продажам и упаковке на part-time. Форма — ИП или статус ремесленника, если применим в регионе, с переходом в ООО при росте оборота.</t>
        </is>
      </c>
    </row>
    <row r="9" ht="30" customHeight="1">
      <c r="A9" s="4" t="inlineStr">
        <is>
          <t>[Впишите] Команда и роли, штатное расписание, организационно-правовая форма.</t>
        </is>
      </c>
    </row>
    <row r="10">
      <c r="A10" s="5" t="inlineStr">
        <is>
          <t>Риски и меры по их снижению (примеры для отрасли)</t>
        </is>
      </c>
    </row>
    <row r="12">
      <c r="A12" s="7" t="inlineStr">
        <is>
          <t>Риск</t>
        </is>
      </c>
      <c r="C12" s="7" t="inlineStr">
        <is>
          <t>Меры снижения</t>
        </is>
      </c>
    </row>
    <row r="13" ht="44" customHeight="1">
      <c r="A13" s="4" t="inlineStr">
        <is>
          <t>Сезонность туристического спроса на офлайн-продажи</t>
        </is>
      </c>
      <c r="C13" s="4" t="inlineStr">
        <is>
          <t>Развитие онлайн-канала (Etsy и соцсети) для стабильности продаж вне сезона</t>
        </is>
      </c>
    </row>
    <row r="14" ht="44" customHeight="1">
      <c r="A14" s="4" t="inlineStr">
        <is>
          <t>Копирование изделий и отсутствие защиты бренда</t>
        </is>
      </c>
      <c r="C14" s="4" t="inlineStr">
        <is>
          <t>Регистрация товарного знака, авторские элементы дизайна, узнаваемая упаковка/подача</t>
        </is>
      </c>
    </row>
    <row r="15" ht="59" customHeight="1">
      <c r="A15" s="4" t="inlineStr">
        <is>
          <t>Логистика и таможенное оформление при международных отправках</t>
        </is>
      </c>
      <c r="C15" s="4" t="inlineStr">
        <is>
          <t>Работа с надёжными международными службами доставки, заблаговременное изучение таможенных правил стран-покупателей</t>
        </is>
      </c>
    </row>
    <row r="16" ht="44" customHeight="1">
      <c r="A16" s="4" t="inlineStr">
        <is>
          <t>Низкая конверсия онлайн-витрины без профессиональной подачи</t>
        </is>
      </c>
      <c r="C16" s="4" t="inlineStr">
        <is>
          <t>Инвестиции в качественную фотосъёмку и тексты карточек товара, привлечение SMM-специалиста</t>
        </is>
      </c>
    </row>
    <row r="17" ht="44" customHeight="1">
      <c r="A17" s="4" t="inlineStr">
        <is>
          <t>Зависимость от одного мастера/носителя навыка</t>
        </is>
      </c>
      <c r="C17" s="4" t="inlineStr">
        <is>
          <t>Обучение подмастерьев, документирование техник, постепенная передача части производства</t>
        </is>
      </c>
    </row>
    <row r="18" ht="44" customHeight="1">
      <c r="A18" s="4" t="inlineStr">
        <is>
          <t>Колебания курса при продаже за рубеж (доход в валюте, расходы в сумах)</t>
        </is>
      </c>
      <c r="C18" s="4" t="inlineStr">
        <is>
          <t>Часть выручки резервировать в валюте, учитывать курсовую разницу при ценообразовании</t>
        </is>
      </c>
    </row>
    <row r="20" ht="30" customHeight="1">
      <c r="A20" s="4" t="inlineStr">
        <is>
          <t>[Впишите] Дополните таблицу своими рисками, специфичными для вашего проекта и региона.</t>
        </is>
      </c>
    </row>
  </sheetData>
  <mergeCells count="21">
    <mergeCell ref="A5:D5"/>
    <mergeCell ref="A8:D8"/>
    <mergeCell ref="A15:B15"/>
    <mergeCell ref="C15:D15"/>
    <mergeCell ref="A20:D20"/>
    <mergeCell ref="C14:D14"/>
    <mergeCell ref="A9:D9"/>
    <mergeCell ref="A16:B16"/>
    <mergeCell ref="C16:D16"/>
    <mergeCell ref="A18:B18"/>
    <mergeCell ref="A12:B12"/>
    <mergeCell ref="C12:D12"/>
    <mergeCell ref="A6:D6"/>
    <mergeCell ref="A14:B14"/>
    <mergeCell ref="A17:B17"/>
    <mergeCell ref="C17:D17"/>
    <mergeCell ref="A3:D3"/>
    <mergeCell ref="A13:B13"/>
    <mergeCell ref="C13:D13"/>
    <mergeCell ref="A2:D2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8" t="inlineStr">
        <is>
          <t>Статья</t>
        </is>
      </c>
      <c r="B1" s="8" t="inlineStr">
        <is>
          <t>Сумма, сум</t>
        </is>
      </c>
      <c r="C1" s="8" t="inlineStr">
        <is>
          <t>Комментарий</t>
        </is>
      </c>
    </row>
    <row r="2" ht="30" customHeight="1">
      <c r="A2" s="9" t="inlineStr">
        <is>
          <t>Впишите свои суммы в столбец «Сумма, сум» напротив каждой строки — итоги и срок окупаемости ниже пересчитаются автоматически (это формулы, не готовые числа). Строки без сумм — примерные статьи для вашей отрасли, добавляйте свои при необходимости.</t>
        </is>
      </c>
    </row>
    <row r="3"/>
    <row r="4">
      <c r="A4" s="10" t="inlineStr">
        <is>
          <t>Начальные инвестиции (требуемая сумма)</t>
        </is>
      </c>
      <c r="B4" s="11" t="n">
        <v>0</v>
      </c>
    </row>
    <row r="5"/>
    <row r="6">
      <c r="A6" s="12" t="inlineStr">
        <is>
          <t>Стартовые затраты (единоразово)</t>
        </is>
      </c>
      <c r="B6" s="13" t="n"/>
      <c r="C6" s="13" t="n"/>
    </row>
    <row r="7" ht="21" customHeight="1">
      <c r="A7" s="14" t="inlineStr">
        <is>
          <t>Обустройство мастерской</t>
        </is>
      </c>
      <c r="B7" s="11" t="n">
        <v>0</v>
      </c>
      <c r="C7" s="14" t="inlineStr"/>
    </row>
    <row r="8" ht="21" customHeight="1">
      <c r="A8" s="14" t="inlineStr">
        <is>
          <t>Инструменты, материалы и оборудование</t>
        </is>
      </c>
      <c r="B8" s="11" t="n">
        <v>0</v>
      </c>
      <c r="C8" s="14" t="inlineStr">
        <is>
          <t>например, печь для обжига керамики</t>
        </is>
      </c>
    </row>
    <row r="9" ht="21" customHeight="1">
      <c r="A9" s="14" t="inlineStr">
        <is>
          <t>Регистрация (в т.ч. статус ремесленника, если применимо)</t>
        </is>
      </c>
      <c r="B9" s="11" t="n">
        <v>0</v>
      </c>
      <c r="C9" s="14" t="inlineStr"/>
    </row>
    <row r="10" ht="21" customHeight="1">
      <c r="A10" s="14" t="inlineStr">
        <is>
          <t>Упаковка и брендинг</t>
        </is>
      </c>
      <c r="B10" s="11" t="n">
        <v>0</v>
      </c>
      <c r="C10" s="14" t="inlineStr"/>
    </row>
    <row r="11" ht="21" customHeight="1">
      <c r="A11" s="14" t="inlineStr">
        <is>
          <t>Продвижение на маркетплейсах</t>
        </is>
      </c>
      <c r="B11" s="11" t="n">
        <v>0</v>
      </c>
      <c r="C11" s="14" t="inlineStr">
        <is>
          <t>Etsy и др., включая профессиональную фотосъёмку</t>
        </is>
      </c>
    </row>
    <row r="12">
      <c r="A12" s="15" t="inlineStr">
        <is>
          <t>Итого: стартовые затраты (единоразово)</t>
        </is>
      </c>
      <c r="B12" s="16">
        <f>SUM(B7:B11)</f>
        <v/>
      </c>
      <c r="C12" s="17" t="n"/>
    </row>
    <row r="13"/>
    <row r="14">
      <c r="A14" s="12" t="inlineStr">
        <is>
          <t>Ежемесячная выручка</t>
        </is>
      </c>
      <c r="B14" s="13" t="n"/>
      <c r="C14" s="13" t="n"/>
    </row>
    <row r="15" ht="21" customHeight="1">
      <c r="A15" s="14" t="inlineStr">
        <is>
          <t>Продажа изделий туристам / в шоуруме</t>
        </is>
      </c>
      <c r="B15" s="11" t="n">
        <v>0</v>
      </c>
      <c r="C15" s="14" t="inlineStr"/>
    </row>
    <row r="16" ht="21" customHeight="1">
      <c r="A16" s="14" t="inlineStr">
        <is>
          <t>Онлайн-продажи и экспорт через маркетплейсы</t>
        </is>
      </c>
      <c r="B16" s="11" t="n">
        <v>0</v>
      </c>
      <c r="C16" s="14" t="inlineStr"/>
    </row>
    <row r="17" ht="21" customHeight="1">
      <c r="A17" s="14" t="inlineStr">
        <is>
          <t>Мастер-классы для туристов</t>
        </is>
      </c>
      <c r="B17" s="11" t="n">
        <v>0</v>
      </c>
      <c r="C17" s="14" t="inlineStr"/>
    </row>
    <row r="18" ht="21" customHeight="1">
      <c r="A18" s="14" t="inlineStr">
        <is>
          <t>Индивидуальные и корпоративные заказы</t>
        </is>
      </c>
      <c r="B18" s="11" t="n">
        <v>0</v>
      </c>
      <c r="C18" s="14" t="inlineStr">
        <is>
          <t>подарочная/сувенирная продукция</t>
        </is>
      </c>
    </row>
    <row r="19">
      <c r="A19" s="15" t="inlineStr">
        <is>
          <t>Итого: ежемесячная выручка</t>
        </is>
      </c>
      <c r="B19" s="16">
        <f>SUM(B15:B18)</f>
        <v/>
      </c>
      <c r="C19" s="17" t="n"/>
    </row>
    <row r="20"/>
    <row r="21">
      <c r="A21" s="12" t="inlineStr">
        <is>
          <t>Ежемесячные операционные расходы</t>
        </is>
      </c>
      <c r="B21" s="13" t="n"/>
      <c r="C21" s="13" t="n"/>
    </row>
    <row r="22" ht="21" customHeight="1">
      <c r="A22" s="14" t="inlineStr">
        <is>
          <t>Материалы и сырьё</t>
        </is>
      </c>
      <c r="B22" s="11" t="n">
        <v>0</v>
      </c>
      <c r="C22" s="14" t="inlineStr"/>
    </row>
    <row r="23" ht="21" customHeight="1">
      <c r="A23" s="14" t="inlineStr">
        <is>
          <t>ФОТ мастеров</t>
        </is>
      </c>
      <c r="B23" s="11" t="n">
        <v>0</v>
      </c>
      <c r="C23" s="14" t="inlineStr"/>
    </row>
    <row r="24" ht="21" customHeight="1">
      <c r="A24" s="14" t="inlineStr">
        <is>
          <t>Аренда мастерской / шоурума</t>
        </is>
      </c>
      <c r="B24" s="11" t="n">
        <v>0</v>
      </c>
      <c r="C24" s="14" t="inlineStr"/>
    </row>
    <row r="25" ht="21" customHeight="1">
      <c r="A25" s="14" t="inlineStr">
        <is>
          <t>Упаковка и логистика (в т.ч. международная)</t>
        </is>
      </c>
      <c r="B25" s="11" t="n">
        <v>0</v>
      </c>
      <c r="C25" s="14" t="inlineStr"/>
    </row>
    <row r="26" ht="21" customHeight="1">
      <c r="A26" s="14" t="inlineStr">
        <is>
          <t>Маркетинг и участие в выставках</t>
        </is>
      </c>
      <c r="B26" s="11" t="n">
        <v>0</v>
      </c>
      <c r="C26" s="14" t="inlineStr"/>
    </row>
    <row r="27">
      <c r="A27" s="15" t="inlineStr">
        <is>
          <t>Итого: ежемесячные операционные расходы</t>
        </is>
      </c>
      <c r="B27" s="16">
        <f>SUM(B22:B26)</f>
        <v/>
      </c>
      <c r="C27" s="17" t="n"/>
    </row>
    <row r="28"/>
    <row r="29">
      <c r="A29" s="10" t="inlineStr">
        <is>
          <t>Ежемесячная прибыль</t>
        </is>
      </c>
      <c r="B29" s="11">
        <f>B19-B27</f>
        <v/>
      </c>
    </row>
    <row r="30"/>
    <row r="31">
      <c r="A31" s="10" t="inlineStr">
        <is>
          <t>Срок выхода на окупаемость, мес.</t>
        </is>
      </c>
      <c r="B31" s="14">
        <f>IFERROR(B4/B29,"—")</f>
        <v/>
      </c>
      <c r="C31" s="14">
        <f> Начальные инвестиции / Ежемесячная прибыль</f>
        <v/>
      </c>
    </row>
    <row r="32">
      <c r="A32" s="10" t="inlineStr">
        <is>
          <t>Рентабельность продаж, %</t>
        </is>
      </c>
      <c r="B32" s="18">
        <f>IFERROR(B29/B19*100,"—")</f>
        <v/>
      </c>
      <c r="C32" s="14">
        <f> Ежемесячная прибыль / Выручка × 100%</f>
        <v/>
      </c>
    </row>
    <row r="33"/>
    <row r="34" ht="40" customHeight="1">
      <c r="A34" s="9" t="inlineStr">
        <is>
          <t>Это шаблон для ваших собственных расчётов, а не готовые рыночные данные — цифры нужно заполнить самостоятельно, исходя из реальных цен и условий вашего проекта. Там, где в комментарии указан ориентир или диапазон, — это иллюстрация для понимания масштаба статьи, а не проверенные рыночные данные.</t>
        </is>
      </c>
    </row>
  </sheetData>
  <mergeCells count="2">
    <mergeCell ref="A2:C2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2026-09-10T09:44:20Z</dcterms:created>
  <dcterms:modified xmlns:dcterms="http://purl.org/dc/terms/" xmlns:xsi="http://www.w3.org/2001/XMLSchema-instance" xsi:type="dcterms:W3CDTF">2026-09-10T09:44:20Z</dcterms:modified>
</cp:coreProperties>
</file>