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НД И ТВОРЧЕСКИЕ ИНДУСТРИИ</t>
        </is>
      </c>
    </row>
    <row r="2">
      <c r="A2" s="2" t="inlineStr">
        <is>
          <t>Пример: мастерская народных промыслов или дизайн-студия с экспортным фокусом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«НД и творческие индустрии».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НД и творческие индустрии</t>
        </is>
      </c>
    </row>
    <row r="2" ht="45" customHeight="1">
      <c r="A2" s="4" t="inlineStr">
        <is>
          <t>•  Узбекистан — центр традиционных ремёсел (керамика, вышивка сюзане, шёлкоткачество) с растущим интересом туристов и международных покупателей.</t>
        </is>
      </c>
    </row>
    <row r="3" ht="45" customHeight="1">
      <c r="A3" s="4" t="inlineStr">
        <is>
          <t>•  Действуют программы поддержки ремесленничества и участия в международных выставках/ярмарках.</t>
        </is>
      </c>
    </row>
    <row r="4" ht="45" customHeight="1">
      <c r="A4" s="4" t="inlineStr">
        <is>
          <t>•  Растёт интерес к изделиям ручной работы на международных маркетплейсах (например, Etsy).</t>
        </is>
      </c>
    </row>
    <row r="5" ht="45" customHeight="1">
      <c r="A5" s="4" t="inlineStr">
        <is>
          <t>•  [Впишите] Конкретную нишу (ремесло/дизайн/медиа), целевую аудиторию и каналы сбыта.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Сезонность туристического спроса</t>
        </is>
      </c>
      <c r="C10" s="4" t="inlineStr">
        <is>
          <t>Развитие онлайн-канала для стабильности продаж</t>
        </is>
      </c>
    </row>
    <row r="11" ht="30" customHeight="1">
      <c r="A11" s="4" t="inlineStr">
        <is>
          <t>Копирование изделий, отсутствие защиты бренда</t>
        </is>
      </c>
      <c r="C11" s="4" t="inlineStr">
        <is>
          <t>Регистрация товарного знака</t>
        </is>
      </c>
    </row>
    <row r="12" ht="30" customHeight="1">
      <c r="A12" s="4" t="inlineStr">
        <is>
          <t>Логистика при экспорте</t>
        </is>
      </c>
      <c r="C12" s="4" t="inlineStr">
        <is>
          <t>Работа с надёжными международными службами доставки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Обустройство мастерской</t>
        </is>
      </c>
      <c r="B7" s="10" t="n">
        <v>0</v>
      </c>
      <c r="C7" s="13" t="inlineStr"/>
    </row>
    <row r="8">
      <c r="A8" s="13" t="inlineStr">
        <is>
          <t>Инструменты и материалы</t>
        </is>
      </c>
      <c r="B8" s="10" t="n">
        <v>0</v>
      </c>
      <c r="C8" s="13" t="inlineStr"/>
    </row>
    <row r="9">
      <c r="A9" s="13" t="inlineStr">
        <is>
          <t>Регистрация (в т.ч. статус ремесленника, если применимо)</t>
        </is>
      </c>
      <c r="B9" s="10" t="n">
        <v>0</v>
      </c>
      <c r="C9" s="13" t="inlineStr"/>
    </row>
    <row r="10">
      <c r="A10" s="13" t="inlineStr">
        <is>
          <t>Упаковка и брендинг</t>
        </is>
      </c>
      <c r="B10" s="10" t="n">
        <v>0</v>
      </c>
      <c r="C10" s="13" t="inlineStr"/>
    </row>
    <row r="11">
      <c r="A11" s="13" t="inlineStr">
        <is>
          <t>Продвижение на маркетплейсах</t>
        </is>
      </c>
      <c r="B11" s="10" t="n">
        <v>0</v>
      </c>
      <c r="C11" s="13" t="inlineStr">
        <is>
          <t>Etsy и др.</t>
        </is>
      </c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Продажа изделий туристам / в шоуруме</t>
        </is>
      </c>
      <c r="B15" s="10" t="n">
        <v>0</v>
      </c>
      <c r="C15" s="13" t="inlineStr"/>
    </row>
    <row r="16">
      <c r="A16" s="13" t="inlineStr">
        <is>
          <t>Онлайн-продажи и экспорт через маркетплейсы</t>
        </is>
      </c>
      <c r="B16" s="10" t="n">
        <v>0</v>
      </c>
      <c r="C16" s="13" t="inlineStr"/>
    </row>
    <row r="17">
      <c r="A17" s="13" t="inlineStr">
        <is>
          <t>Мастер-классы для туристов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Материалы и сырьё</t>
        </is>
      </c>
      <c r="B21" s="10" t="n">
        <v>0</v>
      </c>
      <c r="C21" s="13" t="inlineStr"/>
    </row>
    <row r="22">
      <c r="A22" s="13" t="inlineStr">
        <is>
          <t>ФОТ мастеров</t>
        </is>
      </c>
      <c r="B22" s="10" t="n">
        <v>0</v>
      </c>
      <c r="C22" s="13" t="inlineStr"/>
    </row>
    <row r="23">
      <c r="A23" s="13" t="inlineStr">
        <is>
          <t>Аренда мастерской / шоурума</t>
        </is>
      </c>
      <c r="B23" s="10" t="n">
        <v>0</v>
      </c>
      <c r="C23" s="13" t="inlineStr"/>
    </row>
    <row r="24">
      <c r="A24" s="13" t="inlineStr">
        <is>
          <t>Упаковка и логистика (в т.ч. международная)</t>
        </is>
      </c>
      <c r="B24" s="10" t="n">
        <v>0</v>
      </c>
      <c r="C24" s="13" t="inlineStr"/>
    </row>
    <row r="25">
      <c r="A25" s="13" t="inlineStr">
        <is>
          <t>Маркетинг и участие в выставках</t>
        </is>
      </c>
      <c r="B25" s="10" t="n">
        <v>0</v>
      </c>
      <c r="C25" s="13" t="inlineStr"/>
    </row>
    <row r="26">
      <c r="A26" s="14" t="inlineStr">
        <is>
          <t>Итого: ежемесячные операционные расходы</t>
        </is>
      </c>
      <c r="B26" s="15">
        <f>SUM(B21:B25)</f>
        <v/>
      </c>
      <c r="C26" s="16" t="n"/>
    </row>
    <row r="27"/>
    <row r="28">
      <c r="A28" s="9" t="inlineStr">
        <is>
          <t>Ежемесячная прибыль</t>
        </is>
      </c>
      <c r="B28" s="10">
        <f>B18-B26</f>
        <v/>
      </c>
    </row>
    <row r="29"/>
    <row r="30">
      <c r="A30" s="9" t="inlineStr">
        <is>
          <t>Срок выхода на окупаемость, мес.</t>
        </is>
      </c>
      <c r="B30" s="13">
        <f>IFERROR(B4/B28,"—")</f>
        <v/>
      </c>
      <c r="C30" s="13">
        <f> Начальные инвестиции / Ежемесячная прибыль</f>
        <v/>
      </c>
    </row>
    <row r="31">
      <c r="A31" s="9" t="inlineStr">
        <is>
          <t>Рентабельность продаж, %</t>
        </is>
      </c>
      <c r="B31" s="17">
        <f>IFERROR(B28/B18*100,"—")</f>
        <v/>
      </c>
      <c r="C31" s="13">
        <f> Ежемесячная прибыль / Выручка × 100%</f>
        <v/>
      </c>
    </row>
    <row r="32"/>
    <row r="33" ht="30" customHeight="1">
      <c r="A33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3:C3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