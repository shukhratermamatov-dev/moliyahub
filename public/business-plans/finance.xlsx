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i val="1"/>
      <color rgb="001D4ED8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6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top" wrapText="1"/>
    </xf>
    <xf numFmtId="0" fontId="6" fillId="0" borderId="0" pivotButton="0" quotePrefix="0" xfId="0"/>
    <xf numFmtId="0" fontId="7" fillId="3" borderId="1" pivotButton="0" quotePrefix="0" xfId="0"/>
    <xf numFmtId="0" fontId="8" fillId="0" borderId="1" applyAlignment="1" pivotButton="0" quotePrefix="0" xfId="0">
      <alignment vertical="top" wrapText="1"/>
    </xf>
    <xf numFmtId="0" fontId="6" fillId="0" borderId="1" pivotButton="0" quotePrefix="0" xfId="0"/>
    <xf numFmtId="3" fontId="0" fillId="0" borderId="1" pivotButton="0" quotePrefix="0" xfId="0"/>
    <xf numFmtId="0" fontId="6" fillId="4" borderId="1" pivotButton="0" quotePrefix="0" xfId="0"/>
    <xf numFmtId="0" fontId="0" fillId="4" borderId="0" pivotButton="0" quotePrefix="0" xfId="0"/>
    <xf numFmtId="0" fontId="0" fillId="0" borderId="1" pivotButton="0" quotePrefix="0" xfId="0"/>
    <xf numFmtId="0" fontId="9" fillId="5" borderId="1" pivotButton="0" quotePrefix="0" xfId="0"/>
    <xf numFmtId="3" fontId="0" fillId="5" borderId="1" pivotButton="0" quotePrefix="0" xfId="0"/>
    <xf numFmtId="0" fontId="0" fillId="5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ФИНАНСОВЫЙ СЕКТОР И СТРАХОВАНИЕ</t>
        </is>
      </c>
    </row>
    <row r="2">
      <c r="A2" s="2" t="inlineStr">
        <is>
          <t>Пример: финтех-сервис или микрофинансовая организация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90" customHeight="1">
      <c r="A10" s="4" t="inlineStr">
        <is>
          <t>Это готовый образец (шаблон) бизнес-плана MoliyaHub для отрасли «Финансовый сектор и страхование». Замените текст в квадратных скобках [впишите] и примеры на данные вашего проекта, добавьте или удалите строки в таблицах по необходимости. Абзацы, отмеченные как «ПРИМЕР», — иллюстрация формата ответа, а не факты о реальной компании; замените их своими данными.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74" customHeight="1">
      <c r="A2" s="6" t="inlineStr">
        <is>
          <t>ПРИМЕР (иллюстрация, не данные реальной компании): МФО «QulayQarz» выдаёт микрозаймы предпринимателям на пополнение оборотных средств через мобильное приложение со скоринг-моделью на основе транзакционных данных. Требуемый капитал — 1,2 млрд сум (включая фонд выдачи первых займов); окупаемость — около 20 месяцев при среднем размере займа и плановом уровне невозврата.</t>
        </is>
      </c>
    </row>
    <row r="3" ht="44" customHeight="1">
      <c r="A3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5">
      <c r="A5" s="5" t="inlineStr">
        <is>
          <t>Описание компании / проекта</t>
        </is>
      </c>
    </row>
    <row r="6" ht="70" customHeight="1">
      <c r="A6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3">
    <mergeCell ref="A3:D3"/>
    <mergeCell ref="A2:D2"/>
    <mergeCell ref="A6:D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Финансовый сектор и страхование</t>
        </is>
      </c>
    </row>
    <row r="2" ht="59" customHeight="1">
      <c r="A2" s="4" t="inlineStr">
        <is>
          <t>•  В Узбекистане активно развивается финтех-экосистема на фоне роста цифровых платежей — Центральный банк регулирует и поддерживает цифровизацию платёжной инфраструктуры, включая развитие национальных платёжных систем (Uzcard, Humo) и подключение к ним новых сервисов (uzdaily.uz).</t>
        </is>
      </c>
    </row>
    <row r="3" ht="74" customHeight="1">
      <c r="A3" s="4" t="inlineStr">
        <is>
          <t>•  По оценке Азиатского банка развития, перед Узбекистаном стоит задача не только нарастить объём цифровых платежей, но и превратить цифровые финансы в реальные накопления населения и доступ к капиталу для МСБ — то есть развитие идёт не только в сторону платежей, но и сберегательных/кредитных продуктов (uzdaily.uz).</t>
        </is>
      </c>
    </row>
    <row r="4" ht="59" customHeight="1">
      <c r="A4" s="4" t="inlineStr">
        <is>
          <t>•  Растёт проникновение мобильного банкинга и безналичных платежей среди населения и бизнеса в крупных городах — но в регионах доступ к цифровым финансовым услугам и финансовая грамотность остаются ниже, что создаёт как барьер, так и нишу для локализованных продуктов.</t>
        </is>
      </c>
    </row>
    <row r="5" ht="59" customHeight="1">
      <c r="A5" s="4" t="inlineStr">
        <is>
          <t>•  Растущий спрос МСБ на микрофинансирование и лизинг, особенно в регионах с ограниченным доступом к банковским услугам — при этом деятельность МФО и платёжных сервисов подлежит лицензированию и надзору ЦБ РУз.</t>
        </is>
      </c>
    </row>
    <row r="6" ht="74" customHeight="1">
      <c r="A6" s="4" t="inlineStr">
        <is>
          <t>•  Для сравнения: Казахстан и Россия имеют более зрелые финтех-рынки с крупными игроками (Kaspi.kz, Тинькофф) — узбекский рынок ещё формируется, что даёт возможность занять нишу быстрее, но также означает менее отработанную нормативную базу и более высокую регуляторную неопределённость.</t>
        </is>
      </c>
    </row>
    <row r="7" ht="44" customHeight="1">
      <c r="A7" s="4" t="inlineStr">
        <is>
          <t>•  [Впишите] Конкретную нишу (платежи/кредитование/лизинг/страхование), требования лицензирования ЦБ РУз для неё и данные по объёму сегмента — уточняйте на сайте cbu.uz.</t>
        </is>
      </c>
    </row>
    <row r="9">
      <c r="A9" s="5" t="inlineStr">
        <is>
          <t>Конкуренты</t>
        </is>
      </c>
    </row>
    <row r="10" ht="45" customHeight="1">
      <c r="A10" s="4" t="inlineStr">
        <is>
          <t>[Впишите] Список из 3-5 прямых конкурентов, их сильные и слабые стороны, чем вы отличаетесь.</t>
        </is>
      </c>
    </row>
    <row r="11">
      <c r="A11" s="5" t="inlineStr">
        <is>
          <t>Целевая аудитория</t>
        </is>
      </c>
    </row>
    <row r="12" ht="45" customHeight="1">
      <c r="A12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8">
    <mergeCell ref="A5:D5"/>
    <mergeCell ref="A6:D6"/>
    <mergeCell ref="A12:D12"/>
    <mergeCell ref="A4:D4"/>
    <mergeCell ref="A3:D3"/>
    <mergeCell ref="A7:D7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59" customHeight="1">
      <c r="A2" s="6" t="inlineStr">
        <is>
          <t>ПРИМЕР (иллюстрация, не данные реальной компании): Продвижение — партнёрство с 2-3 маркетплейсами и поставщиками для встроенного кредитования (embedded finance) их продавцов, таргетированная реклама в соцсетях для предпринимателей, реферальная программа для существующих клиентов.</t>
        </is>
      </c>
    </row>
    <row r="3" ht="30" customHeight="1">
      <c r="A3" s="4" t="inlineStr">
        <is>
          <t>[Впишите] Ценообразование, каналы продвижения и продаж, план привлечения первых клиентов.</t>
        </is>
      </c>
    </row>
    <row r="4">
      <c r="A4" s="5" t="inlineStr">
        <is>
          <t>Операционный план</t>
        </is>
      </c>
    </row>
    <row r="5" ht="59" customHeight="1">
      <c r="A5" s="6" t="inlineStr">
        <is>
          <t>ПРИМЕР (иллюстрация, не данные реальной компании): Цикл: заявка через приложение → скоринг и проверка → одобрение → выдача займа на карту → автоматическое списание платежей по графику → работа с просрочкой. Требуется лицензия ЦБ РУз на деятельность МФО и внедрение AML/KYC-процедур.</t>
        </is>
      </c>
    </row>
    <row r="6" ht="44" customHeight="1">
      <c r="A6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7">
      <c r="A7" s="5" t="inlineStr">
        <is>
          <t>Организационный план</t>
        </is>
      </c>
    </row>
    <row r="8" ht="59" customHeight="1">
      <c r="A8" s="6" t="inlineStr">
        <is>
          <t>ПРИМЕР (иллюстрация, не данные реальной компании): Директор, риск-менеджер/скоринг-аналитик, комплаенс-офицер, 2 менеджера по работе с клиентами, разработчик приложения на аутсорсе. Форма — ООО с лицензией МФО от ЦБ РУз.</t>
        </is>
      </c>
    </row>
    <row r="9" ht="30" customHeight="1">
      <c r="A9" s="4" t="inlineStr">
        <is>
          <t>[Впишите] Команда и роли, штатное расписание, организационно-правовая форма.</t>
        </is>
      </c>
    </row>
    <row r="10">
      <c r="A10" s="5" t="inlineStr">
        <is>
          <t>Риски и меры по их снижению (примеры для отрасли)</t>
        </is>
      </c>
    </row>
    <row r="12">
      <c r="A12" s="7" t="inlineStr">
        <is>
          <t>Риск</t>
        </is>
      </c>
      <c r="C12" s="7" t="inlineStr">
        <is>
          <t>Меры снижения</t>
        </is>
      </c>
    </row>
    <row r="13" ht="44" customHeight="1">
      <c r="A13" s="4" t="inlineStr">
        <is>
          <t>Кредитный риск (невозврат займов)</t>
        </is>
      </c>
      <c r="C13" s="4" t="inlineStr">
        <is>
          <t>Скоринг заёмщиков на основе данных, диверсификация портфеля, лимиты на одного заёмщика</t>
        </is>
      </c>
    </row>
    <row r="14" ht="44" customHeight="1">
      <c r="A14" s="4" t="inlineStr">
        <is>
          <t>Регуляторные изменения со стороны ЦБ РУз</t>
        </is>
      </c>
      <c r="C14" s="4" t="inlineStr">
        <is>
          <t>Постоянный мониторинг требований, резерв времени и бюджета на комплаенс</t>
        </is>
      </c>
    </row>
    <row r="15" ht="44" customHeight="1">
      <c r="A15" s="4" t="inlineStr">
        <is>
          <t>Киберугрозы и утечка финансовых данных клиентов</t>
        </is>
      </c>
      <c r="C15" s="4" t="inlineStr">
        <is>
          <t>Аудит информационной безопасности, страхование киберрисков, шифрование данных</t>
        </is>
      </c>
    </row>
    <row r="16" ht="44" customHeight="1">
      <c r="A16" s="4" t="inlineStr">
        <is>
          <t>Валютные риски при работе с иностранными инвесторами/платформами</t>
        </is>
      </c>
      <c r="C16" s="4" t="inlineStr">
        <is>
          <t>Хеджирование, расчёты преимущественно в национальной валюте</t>
        </is>
      </c>
    </row>
    <row r="17" ht="44" customHeight="1">
      <c r="A17" s="4" t="inlineStr">
        <is>
          <t>Низкая финансовая грамотность части целевой аудитории</t>
        </is>
      </c>
      <c r="C17" s="4" t="inlineStr">
        <is>
          <t>Простой и понятный интерфейс, обучающий контент, поддержка на местном языке</t>
        </is>
      </c>
    </row>
    <row r="18" ht="59" customHeight="1">
      <c r="A18" s="4" t="inlineStr">
        <is>
          <t>Репутационный риск при агрессивном взыскании задолженности</t>
        </is>
      </c>
      <c r="C18" s="4" t="inlineStr">
        <is>
          <t>Прозрачная и этичная политика взыскания, соответствие требованиям ЦБ РУз по защите прав потребителей</t>
        </is>
      </c>
    </row>
    <row r="20" ht="30" customHeight="1">
      <c r="A20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21">
    <mergeCell ref="A5:D5"/>
    <mergeCell ref="A8:D8"/>
    <mergeCell ref="A15:B15"/>
    <mergeCell ref="C15:D15"/>
    <mergeCell ref="A20:D20"/>
    <mergeCell ref="C14:D14"/>
    <mergeCell ref="A9:D9"/>
    <mergeCell ref="A16:B16"/>
    <mergeCell ref="C16:D16"/>
    <mergeCell ref="A18:B18"/>
    <mergeCell ref="A12:B12"/>
    <mergeCell ref="C12:D12"/>
    <mergeCell ref="A6:D6"/>
    <mergeCell ref="A14:B14"/>
    <mergeCell ref="A17:B17"/>
    <mergeCell ref="C17:D17"/>
    <mergeCell ref="A3:D3"/>
    <mergeCell ref="A13:B13"/>
    <mergeCell ref="C13:D13"/>
    <mergeCell ref="A2:D2"/>
    <mergeCell ref="C18:D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55" customWidth="1" min="3" max="3"/>
  </cols>
  <sheetData>
    <row r="1">
      <c r="A1" s="8" t="inlineStr">
        <is>
          <t>Статья</t>
        </is>
      </c>
      <c r="B1" s="8" t="inlineStr">
        <is>
          <t>Сумма, сум</t>
        </is>
      </c>
      <c r="C1" s="8" t="inlineStr">
        <is>
          <t>Комментарий</t>
        </is>
      </c>
    </row>
    <row r="2" ht="30" customHeight="1">
      <c r="A2" s="9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Строки без сумм — примерные статьи для вашей отрасли, добавляйте свои при необходимости.</t>
        </is>
      </c>
    </row>
    <row r="3"/>
    <row r="4">
      <c r="A4" s="10" t="inlineStr">
        <is>
          <t>Начальные инвестиции (требуемая сумма)</t>
        </is>
      </c>
      <c r="B4" s="11" t="n">
        <v>0</v>
      </c>
    </row>
    <row r="5"/>
    <row r="6">
      <c r="A6" s="12" t="inlineStr">
        <is>
          <t>Стартовые затраты (единоразово)</t>
        </is>
      </c>
      <c r="B6" s="13" t="n"/>
      <c r="C6" s="13" t="n"/>
    </row>
    <row r="7" ht="21" customHeight="1">
      <c r="A7" s="14" t="inlineStr">
        <is>
          <t>Лицензирование деятельности</t>
        </is>
      </c>
      <c r="B7" s="11" t="n">
        <v>0</v>
      </c>
      <c r="C7" s="14" t="inlineStr">
        <is>
          <t>требования ЦБ РУз по выбранному виду деятельности</t>
        </is>
      </c>
    </row>
    <row r="8" ht="21" customHeight="1">
      <c r="A8" s="14" t="inlineStr">
        <is>
          <t>IT-платформа / приложение</t>
        </is>
      </c>
      <c r="B8" s="11" t="n">
        <v>0</v>
      </c>
      <c r="C8" s="14" t="inlineStr"/>
    </row>
    <row r="9" ht="21" customHeight="1">
      <c r="A9" s="14" t="inlineStr">
        <is>
          <t>Капитал для выдачи первых займов</t>
        </is>
      </c>
      <c r="B9" s="11" t="n">
        <v>0</v>
      </c>
      <c r="C9" s="14" t="inlineStr">
        <is>
          <t>если МФО</t>
        </is>
      </c>
    </row>
    <row r="10" ht="21" customHeight="1">
      <c r="A10" s="14" t="inlineStr">
        <is>
          <t>Комплаенс и AML/KYC-системы</t>
        </is>
      </c>
      <c r="B10" s="11" t="n">
        <v>0</v>
      </c>
      <c r="C10" s="14" t="inlineStr"/>
    </row>
    <row r="11" ht="21" customHeight="1">
      <c r="A11" s="14" t="inlineStr">
        <is>
          <t>Офис и оборудование</t>
        </is>
      </c>
      <c r="B11" s="11" t="n">
        <v>0</v>
      </c>
      <c r="C11" s="14" t="inlineStr"/>
    </row>
    <row r="12">
      <c r="A12" s="15" t="inlineStr">
        <is>
          <t>Итого: стартовые затраты (единоразово)</t>
        </is>
      </c>
      <c r="B12" s="16">
        <f>SUM(B7:B11)</f>
        <v/>
      </c>
      <c r="C12" s="17" t="n"/>
    </row>
    <row r="13"/>
    <row r="14">
      <c r="A14" s="12" t="inlineStr">
        <is>
          <t>Ежемесячная выручка</t>
        </is>
      </c>
      <c r="B14" s="13" t="n"/>
      <c r="C14" s="13" t="n"/>
    </row>
    <row r="15" ht="21" customHeight="1">
      <c r="A15" s="14" t="inlineStr">
        <is>
          <t>Процентный доход по займам/лизингу</t>
        </is>
      </c>
      <c r="B15" s="11" t="n">
        <v>0</v>
      </c>
      <c r="C15" s="14" t="inlineStr"/>
    </row>
    <row r="16" ht="21" customHeight="1">
      <c r="A16" s="14" t="inlineStr">
        <is>
          <t>Комиссии за транзакции/обслуживание</t>
        </is>
      </c>
      <c r="B16" s="11" t="n">
        <v>0</v>
      </c>
      <c r="C16" s="14" t="inlineStr"/>
    </row>
    <row r="17" ht="21" customHeight="1">
      <c r="A17" s="14" t="inlineStr">
        <is>
          <t>Партнёрские комиссии (embedded finance)</t>
        </is>
      </c>
      <c r="B17" s="11" t="n">
        <v>0</v>
      </c>
      <c r="C17" s="14" t="inlineStr">
        <is>
          <t>за встроенные финансовые продукты у партнёров</t>
        </is>
      </c>
    </row>
    <row r="18">
      <c r="A18" s="15" t="inlineStr">
        <is>
          <t>Итого: ежемесячная выручка</t>
        </is>
      </c>
      <c r="B18" s="16">
        <f>SUM(B15:B17)</f>
        <v/>
      </c>
      <c r="C18" s="17" t="n"/>
    </row>
    <row r="19"/>
    <row r="20">
      <c r="A20" s="12" t="inlineStr">
        <is>
          <t>Ежемесячные операционные расходы</t>
        </is>
      </c>
      <c r="B20" s="13" t="n"/>
      <c r="C20" s="13" t="n"/>
    </row>
    <row r="21" ht="21" customHeight="1">
      <c r="A21" s="14" t="inlineStr">
        <is>
          <t>ФОТ (включая комплаенс и риск-менеджмент)</t>
        </is>
      </c>
      <c r="B21" s="11" t="n">
        <v>0</v>
      </c>
      <c r="C21" s="14" t="inlineStr"/>
    </row>
    <row r="22" ht="21" customHeight="1">
      <c r="A22" s="14" t="inlineStr">
        <is>
          <t>IT-инфраструктура и кибербезопасность</t>
        </is>
      </c>
      <c r="B22" s="11" t="n">
        <v>0</v>
      </c>
      <c r="C22" s="14" t="inlineStr"/>
    </row>
    <row r="23" ht="21" customHeight="1">
      <c r="A23" s="14" t="inlineStr">
        <is>
          <t>Резервы на возможные потери по займам</t>
        </is>
      </c>
      <c r="B23" s="11" t="n">
        <v>0</v>
      </c>
      <c r="C23" s="14" t="inlineStr"/>
    </row>
    <row r="24" ht="21" customHeight="1">
      <c r="A24" s="14" t="inlineStr">
        <is>
          <t>Маркетинг и привлечение клиентов</t>
        </is>
      </c>
      <c r="B24" s="11" t="n">
        <v>0</v>
      </c>
      <c r="C24" s="14" t="inlineStr"/>
    </row>
    <row r="25" ht="21" customHeight="1">
      <c r="A25" s="14" t="inlineStr">
        <is>
          <t>Лицензионные и регуляторные сборы</t>
        </is>
      </c>
      <c r="B25" s="11" t="n">
        <v>0</v>
      </c>
      <c r="C25" s="14" t="inlineStr"/>
    </row>
    <row r="26">
      <c r="A26" s="15" t="inlineStr">
        <is>
          <t>Итого: ежемесячные операционные расходы</t>
        </is>
      </c>
      <c r="B26" s="16">
        <f>SUM(B21:B25)</f>
        <v/>
      </c>
      <c r="C26" s="17" t="n"/>
    </row>
    <row r="27"/>
    <row r="28">
      <c r="A28" s="10" t="inlineStr">
        <is>
          <t>Ежемесячная прибыль</t>
        </is>
      </c>
      <c r="B28" s="11">
        <f>B18-B26</f>
        <v/>
      </c>
    </row>
    <row r="29"/>
    <row r="30">
      <c r="A30" s="10" t="inlineStr">
        <is>
          <t>Срок выхода на окупаемость, мес.</t>
        </is>
      </c>
      <c r="B30" s="14">
        <f>IFERROR(B4/B28,"—")</f>
        <v/>
      </c>
      <c r="C30" s="14">
        <f> Начальные инвестиции / Ежемесячная прибыль</f>
        <v/>
      </c>
    </row>
    <row r="31">
      <c r="A31" s="10" t="inlineStr">
        <is>
          <t>Рентабельность продаж, %</t>
        </is>
      </c>
      <c r="B31" s="18">
        <f>IFERROR(B28/B18*100,"—")</f>
        <v/>
      </c>
      <c r="C31" s="14">
        <f> Ежемесячная прибыль / Выручка × 100%</f>
        <v/>
      </c>
    </row>
    <row r="32"/>
    <row r="33" ht="40" customHeight="1">
      <c r="A33" s="9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 Там, где в комментарии указан ориентир или диапазон, — это иллюстрация для понимания масштаба статьи, а не проверенные рыночные данные.</t>
        </is>
      </c>
    </row>
  </sheetData>
  <mergeCells count="2">
    <mergeCell ref="A33:C3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2026-09-10T09:41:08Z</dcterms:created>
  <dcterms:modified xmlns:dcterms="http://purl.org/dc/terms/" xmlns:xsi="http://www.w3.org/2001/XMLSchema-instance" xsi:type="dcterms:W3CDTF">2026-09-10T09:41:08Z</dcterms:modified>
</cp:coreProperties>
</file>