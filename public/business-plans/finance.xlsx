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  <font>
      <i val="1"/>
      <color rgb="001D4ED8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ФИНАНСОВЫЙ СЕКТОР И СТРАХОВАНИЕ — ПРИМЕР РАСЧЁТА</t>
        </is>
      </c>
    </row>
    <row r="2" ht="65" customHeight="1">
      <c r="A2" s="2" t="inlineStr">
        <is>
          <t>Этот файл дополняет текстовый документ бизнес-плана MoliyaHub для отрасли «Финансовый сектор и страхование» (резюме, анализ рынка, маркетинговый/операционный/организационный план, риски — в Word-файле с тем же названием). Здесь — расчётная часть с рабочими формулами, уже заполненная цифрами ПРИМЕРА (иллюстративная компания из резюме бизнес-плана, не реальный заёмщик) — чтобы показать порядок величины и логику расчёта. Перед подачей в банк или инвестору замените суммы на данные своего проекта.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45" customHeight="1">
      <c r="A5" s="4" t="inlineStr">
        <is>
          <t>Столбец «Сумма, сум» уже заполнен примером расчёта для иллюстративной компании из этого бизнес-плана — на основе рыночных ориентиров 2025-2026 года (там, где источник известен — со ссылкой в комментарии) или экспертной оценки порядка величины (это тоже отмечено). Итоги, прибыль, срок окупаемости и рентабельность ниже пересчитаются автоматически (это формулы). Замените суммы в столбце B на данные вашего собственного проекта — тогда пересчитается всё.</t>
        </is>
      </c>
    </row>
    <row r="6"/>
    <row r="7">
      <c r="A7" s="5" t="inlineStr">
        <is>
          <t>Начальные инвестиции (требуемая сумма)</t>
        </is>
      </c>
      <c r="B7" s="6">
        <f>B15</f>
        <v/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51" customHeight="1">
      <c r="A10" s="9" t="inlineStr">
        <is>
          <t>Лицензирование деятельности</t>
        </is>
      </c>
      <c r="B10" s="6" t="n">
        <v>18000000</v>
      </c>
      <c r="C10" s="9" t="inlineStr">
        <is>
          <t>требования ЦБ РУз по выбранному виду деятельности — Пример: оценка: юр. сопровождение регистрации МКО, госпошлины, обязательные публикации</t>
        </is>
      </c>
    </row>
    <row r="11" ht="36" customHeight="1">
      <c r="A11" s="9" t="inlineStr">
        <is>
          <t>IT-платформа / приложение</t>
        </is>
      </c>
      <c r="B11" s="6" t="n">
        <v>190000000</v>
      </c>
      <c r="C11" s="9" t="inlineStr">
        <is>
          <t>Пример: оценка стоимости разработки мобильного приложения со скоринговой моделью и бэкендом (MVP, аутсорс)</t>
        </is>
      </c>
    </row>
    <row r="12" ht="36" customHeight="1">
      <c r="A12" s="9" t="inlineStr">
        <is>
          <t>Капитал для выдачи первых займов</t>
        </is>
      </c>
      <c r="B12" s="6" t="n">
        <v>850000000</v>
      </c>
      <c r="C12" s="9" t="inlineStr">
        <is>
          <t>если МФО — Пример: оценка: остаток бюджета 1,2 млрд сум после прочих статей — формирует стартовый кредитный портфель</t>
        </is>
      </c>
    </row>
    <row r="13" ht="36" customHeight="1">
      <c r="A13" s="9" t="inlineStr">
        <is>
          <t>Комплаенс и AML/KYC-системы</t>
        </is>
      </c>
      <c r="B13" s="6" t="n">
        <v>50000000</v>
      </c>
      <c r="C13" s="9" t="inlineStr">
        <is>
          <t>Пример: оценка: системы идентификации клиентов, скоринговые интеграции, AML-мониторинг</t>
        </is>
      </c>
    </row>
    <row r="14" ht="36" customHeight="1">
      <c r="A14" s="9" t="inlineStr">
        <is>
          <t>Офис и оборудование</t>
        </is>
      </c>
      <c r="B14" s="6" t="n">
        <v>92000000</v>
      </c>
      <c r="C14" s="9" t="inlineStr">
        <is>
          <t>Пример: оценка: аренда/ремонт небольшого офиса, мебель и техника для команды ~5 человек</t>
        </is>
      </c>
    </row>
    <row r="15">
      <c r="A15" s="10" t="inlineStr">
        <is>
          <t>Итого: стартовые затраты (единоразово)</t>
        </is>
      </c>
      <c r="B15" s="11">
        <f>SUM(B10:B14)</f>
        <v/>
      </c>
      <c r="C15" s="12" t="n"/>
    </row>
    <row r="16"/>
    <row r="17">
      <c r="A17" s="7" t="inlineStr">
        <is>
          <t>Ежемесячная выручка</t>
        </is>
      </c>
      <c r="B17" s="8" t="n"/>
      <c r="C17" s="8" t="n"/>
    </row>
    <row r="18" ht="51" customHeight="1">
      <c r="A18" s="9" t="inlineStr">
        <is>
          <t>Процентный доход по займам/лизингу</t>
        </is>
      </c>
      <c r="B18" s="6" t="n">
        <v>35500000</v>
      </c>
      <c r="C18" s="9" t="inlineStr">
        <is>
          <t>Пример: портфель ~850 млн × ~50% годовых / 12 — ставка ограничена потолком ЦБ РУз (совокупная переплата ≤50%/год с апр. 2025, Spot.uz)</t>
        </is>
      </c>
    </row>
    <row r="19" ht="36" customHeight="1">
      <c r="A19" s="9" t="inlineStr">
        <is>
          <t>Комиссии за транзакции/обслуживание</t>
        </is>
      </c>
      <c r="B19" s="6" t="n">
        <v>8500000</v>
      </c>
      <c r="C19" s="9" t="inlineStr">
        <is>
          <t>Пример: оценка дохода от комиссий за обслуживание/переводы в рамках общего лимита переплаты</t>
        </is>
      </c>
    </row>
    <row r="20" ht="51" customHeight="1">
      <c r="A20" s="9" t="inlineStr">
        <is>
          <t>Партнёрские комиссии (embedded finance)</t>
        </is>
      </c>
      <c r="B20" s="6" t="n">
        <v>16000000</v>
      </c>
      <c r="C20" s="9" t="inlineStr">
        <is>
          <t>за встроенные финансовые продукты у партнёров — Пример: оценка дохода от партнёрств с маркетплейсами за встроенное кредитование продавцов</t>
        </is>
      </c>
    </row>
    <row r="21">
      <c r="A21" s="10" t="inlineStr">
        <is>
          <t>Итого: ежемесячная выручка</t>
        </is>
      </c>
      <c r="B21" s="11">
        <f>SUM(B18:B20)</f>
        <v/>
      </c>
      <c r="C21" s="12" t="n"/>
    </row>
    <row r="22"/>
    <row r="23">
      <c r="A23" s="7" t="inlineStr">
        <is>
          <t>Ежемесячные операционные расходы</t>
        </is>
      </c>
      <c r="B23" s="8" t="n"/>
      <c r="C23" s="8" t="n"/>
    </row>
    <row r="24" ht="51" customHeight="1">
      <c r="A24" s="9" t="inlineStr">
        <is>
          <t>ФОТ (включая комплаенс и риск-менеджмент)</t>
        </is>
      </c>
      <c r="B24" s="6" t="n">
        <v>30000000</v>
      </c>
      <c r="C24" s="9" t="inlineStr">
        <is>
          <t>Пример: компактная стартовая команда (директор, риск-менеджер, комплаенс, 2 менеджера) — оценка по уровню малых финтех-компаний Ташкента</t>
        </is>
      </c>
    </row>
    <row r="25" ht="36" customHeight="1">
      <c r="A25" s="9" t="inlineStr">
        <is>
          <t>IT-инфраструктура и кибербезопасность</t>
        </is>
      </c>
      <c r="B25" s="6" t="n">
        <v>6000000</v>
      </c>
      <c r="C25" s="9" t="inlineStr">
        <is>
          <t>Пример: оценка: разработчик на аутсорсе, облачный хостинг, защита персональных данных</t>
        </is>
      </c>
    </row>
    <row r="26" ht="36" customHeight="1">
      <c r="A26" s="9" t="inlineStr">
        <is>
          <t>Резервы на возможные потери по займам</t>
        </is>
      </c>
      <c r="B26" s="6" t="n">
        <v>3500000</v>
      </c>
      <c r="C26" s="9" t="inlineStr">
        <is>
          <t>Пример: расчёт: ~5% годовых от портфеля 850 млн / 12 — консервативная норма резервирования</t>
        </is>
      </c>
    </row>
    <row r="27" ht="36" customHeight="1">
      <c r="A27" s="9" t="inlineStr">
        <is>
          <t>Маркетинг и привлечение клиентов</t>
        </is>
      </c>
      <c r="B27" s="6" t="n">
        <v>3000000</v>
      </c>
      <c r="C27" s="9" t="inlineStr">
        <is>
          <t>Пример: оценка расходов на привлечение первых заёмщиков через цифровые каналы</t>
        </is>
      </c>
    </row>
    <row r="28" ht="36" customHeight="1">
      <c r="A28" s="9" t="inlineStr">
        <is>
          <t>Лицензионные и регуляторные сборы</t>
        </is>
      </c>
      <c r="B28" s="6" t="n">
        <v>2000000</v>
      </c>
      <c r="C28" s="9" t="inlineStr">
        <is>
          <t>Пример: оценка расходов на отчётность перед ЦБ, аудит, регуляторные сборы</t>
        </is>
      </c>
    </row>
    <row r="29">
      <c r="A29" s="10" t="inlineStr">
        <is>
          <t>Итого: ежемесячные операционные расходы</t>
        </is>
      </c>
      <c r="B29" s="11">
        <f>SUM(B24:B28)</f>
        <v/>
      </c>
      <c r="C29" s="12" t="n"/>
    </row>
    <row r="30"/>
    <row r="31">
      <c r="A31" s="5" t="inlineStr">
        <is>
          <t>Ежемесячная прибыль</t>
        </is>
      </c>
      <c r="B31" s="6">
        <f>B21-B29</f>
        <v/>
      </c>
    </row>
    <row r="32"/>
    <row r="33">
      <c r="A33" s="5" t="inlineStr">
        <is>
          <t>Срок выхода на окупаемость, мес.</t>
        </is>
      </c>
      <c r="B33" s="9">
        <f>IFERROR(B7/B31,"—")</f>
        <v/>
      </c>
      <c r="C33" s="9" t="inlineStr">
        <is>
          <t>Формула: Начальные инвестиции ÷ Ежемесячная прибыль</t>
        </is>
      </c>
    </row>
    <row r="34">
      <c r="A34" s="5" t="inlineStr">
        <is>
          <t>Рентабельность продаж, %</t>
        </is>
      </c>
      <c r="B34" s="13">
        <f>IFERROR(B31/B21*100,"—")</f>
        <v/>
      </c>
      <c r="C34" s="9" t="inlineStr">
        <is>
          <t>Формула: Ежемесячная прибыль ÷ Выручка × 100%</t>
        </is>
      </c>
    </row>
    <row r="35"/>
    <row r="36" ht="110" customHeight="1">
      <c r="A36" s="14" t="inlineStr">
        <is>
          <t>Как считался этот пример: ВАЖНО про срок окупаемости: 850 млн сум 'фонда выдачи займов' — это оборотный актив (портфель), а не безвозвратные вложения, поэтому делить весь 1,2 млрд на месячную прибыль (≈15,5 млн) некорректно — так выйдет ≈77 мес. Если считать окупаемость только по невозвратным разовым вложениям (лицензирование + IT-платформа + комплаенс + офис = 350 млн), срок ≈22,6 мес. — близко к заявленным ~20 мес. Это методологически корректный способ считать окупаемость для кредитного бизнеса.</t>
        </is>
      </c>
    </row>
    <row r="37"/>
    <row r="38" ht="55" customHeight="1">
      <c r="A38" s="4" t="inlineStr">
        <is>
          <t>Это пример расчёта для иллюстративной компании, а не готовая заявка на кредит и не проверенные рыночные данные о реальном бизнесе. Суммы в столбце B — рабочие формулы: замените их на цифры вашего проекта, и итоги, прибыль, срок окупаемости и рентабельность пересчитаются автоматически. Там, где в комментарии указан источник — это ориентир на 2025-2026 год, проверяйте актуальность перед подачей документов в банк; где указана «экспертная оценка» — это иллюстрация порядка величины, а не факт.</t>
        </is>
      </c>
    </row>
  </sheetData>
  <mergeCells count="4">
    <mergeCell ref="A5:C5"/>
    <mergeCell ref="A38:C38"/>
    <mergeCell ref="A36:C3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2026-09-12T07:41:32Z</dcterms:created>
  <dcterms:modified xmlns:dcterms="http://purl.org/dc/terms/" xmlns:xsi="http://www.w3.org/2001/XMLSchema-instance" xsi:type="dcterms:W3CDTF">2026-09-12T07:41:32Z</dcterms:modified>
</cp:coreProperties>
</file>