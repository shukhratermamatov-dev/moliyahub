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СЕЛЬСКОЕ, ЛЕСНОЕ И РЫБНОЕ ХОЗЯЙСТВО</t>
        </is>
      </c>
    </row>
    <row r="2" ht="45" customHeight="1">
      <c r="A2" s="2" t="inlineStr">
        <is>
          <t>Этот файл дополняет текстовый документ бизнес-плана MoliyaHub для отрасли «Сельское, лесное и рыбное хозяйство»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Аренда/оформление земельного участка</t>
        </is>
      </c>
      <c r="B10" s="6" t="n">
        <v>0</v>
      </c>
      <c r="C10" s="9" t="inlineStr"/>
    </row>
    <row r="11" ht="21" customHeight="1">
      <c r="A11" s="9" t="inlineStr">
        <is>
          <t>Семена/посадочный материал или молодняк скота</t>
        </is>
      </c>
      <c r="B11" s="6" t="n">
        <v>0</v>
      </c>
      <c r="C11" s="9" t="inlineStr"/>
    </row>
    <row r="12" ht="21" customHeight="1">
      <c r="A12" s="9" t="inlineStr">
        <is>
          <t>Сельхозтехника и инвентарь</t>
        </is>
      </c>
      <c r="B12" s="6" t="n">
        <v>0</v>
      </c>
      <c r="C12" s="9" t="inlineStr">
        <is>
          <t>покупка или лизинг через Uzagrolizing</t>
        </is>
      </c>
    </row>
    <row r="13" ht="21" customHeight="1">
      <c r="A13" s="9" t="inlineStr">
        <is>
          <t>Ирригационная система (капельное орошение)</t>
        </is>
      </c>
      <c r="B13" s="6" t="n">
        <v>0</v>
      </c>
      <c r="C13" s="9" t="inlineStr">
        <is>
          <t>при необходимости</t>
        </is>
      </c>
    </row>
    <row r="14" ht="21" customHeight="1">
      <c r="A14" s="9" t="inlineStr">
        <is>
          <t>Хозпостройки / теплицы / загоны</t>
        </is>
      </c>
      <c r="B14" s="6" t="n">
        <v>0</v>
      </c>
      <c r="C14" s="9" t="inlineStr"/>
    </row>
    <row r="15" ht="21" customHeight="1">
      <c r="A15" s="9" t="inlineStr">
        <is>
          <t>Холодильная камера / мини-хранилище</t>
        </is>
      </c>
      <c r="B15" s="6" t="n">
        <v>0</v>
      </c>
      <c r="C15" s="9" t="inlineStr">
        <is>
          <t>снижает потери урожая при хранении</t>
        </is>
      </c>
    </row>
    <row r="16" ht="21" customHeight="1">
      <c r="A16" s="9" t="inlineStr">
        <is>
          <t>Регистрация фермерского хозяйства</t>
        </is>
      </c>
      <c r="B16" s="6" t="n">
        <v>0</v>
      </c>
      <c r="C16" s="9" t="inlineStr"/>
    </row>
    <row r="17">
      <c r="A17" s="10" t="inlineStr">
        <is>
          <t>Итого: стартовые затраты (единоразово)</t>
        </is>
      </c>
      <c r="B17" s="11">
        <f>SUM(B10:B16)</f>
        <v/>
      </c>
      <c r="C17" s="12" t="n"/>
    </row>
    <row r="18"/>
    <row r="19">
      <c r="A19" s="7" t="inlineStr">
        <is>
          <t>Ежемесячная выручка</t>
        </is>
      </c>
      <c r="B19" s="8" t="n"/>
      <c r="C19" s="8" t="n"/>
    </row>
    <row r="20" ht="21" customHeight="1">
      <c r="A20" s="9" t="inlineStr">
        <is>
          <t>Продажа урожая/продукции оптовым закупщикам</t>
        </is>
      </c>
      <c r="B20" s="6" t="n">
        <v>0</v>
      </c>
      <c r="C20" s="9" t="inlineStr"/>
    </row>
    <row r="21" ht="21" customHeight="1">
      <c r="A21" s="9" t="inlineStr">
        <is>
          <t>Продажа на рынке / через кооператив</t>
        </is>
      </c>
      <c r="B21" s="6" t="n">
        <v>0</v>
      </c>
      <c r="C21" s="9" t="inlineStr"/>
    </row>
    <row r="22" ht="21" customHeight="1">
      <c r="A22" s="9" t="inlineStr">
        <is>
          <t>Переработка (сушка, соки, консервация)</t>
        </is>
      </c>
      <c r="B22" s="6" t="n">
        <v>0</v>
      </c>
      <c r="C22" s="9" t="inlineStr">
        <is>
          <t>добавленная стоимость к сырому урожаю</t>
        </is>
      </c>
    </row>
    <row r="23" ht="21" customHeight="1">
      <c r="A23" s="9" t="inlineStr">
        <is>
          <t>Экспортные контракты</t>
        </is>
      </c>
      <c r="B23" s="6" t="n">
        <v>0</v>
      </c>
      <c r="C23" s="9" t="inlineStr">
        <is>
          <t>при выходе на объём и наличии сертификации</t>
        </is>
      </c>
    </row>
    <row r="24">
      <c r="A24" s="10" t="inlineStr">
        <is>
          <t>Итого: ежемесячная выручка</t>
        </is>
      </c>
      <c r="B24" s="11">
        <f>SUM(B20:B23)</f>
        <v/>
      </c>
      <c r="C24" s="12" t="n"/>
    </row>
    <row r="25"/>
    <row r="26">
      <c r="A26" s="7" t="inlineStr">
        <is>
          <t>Ежемесячные операционные расходы</t>
        </is>
      </c>
      <c r="B26" s="8" t="n"/>
      <c r="C26" s="8" t="n"/>
    </row>
    <row r="27" ht="21" customHeight="1">
      <c r="A27" s="9" t="inlineStr">
        <is>
          <t>Семена / корма</t>
        </is>
      </c>
      <c r="B27" s="6" t="n">
        <v>0</v>
      </c>
      <c r="C27" s="9" t="inlineStr"/>
    </row>
    <row r="28" ht="21" customHeight="1">
      <c r="A28" s="9" t="inlineStr">
        <is>
          <t>ГСМ и обслуживание техники</t>
        </is>
      </c>
      <c r="B28" s="6" t="n">
        <v>0</v>
      </c>
      <c r="C28" s="9" t="inlineStr"/>
    </row>
    <row r="29" ht="21" customHeight="1">
      <c r="A29" s="9" t="inlineStr">
        <is>
          <t>Оплата труда сезонных работников</t>
        </is>
      </c>
      <c r="B29" s="6" t="n">
        <v>0</v>
      </c>
      <c r="C29" s="9" t="inlineStr"/>
    </row>
    <row r="30" ht="21" customHeight="1">
      <c r="A30" s="9" t="inlineStr">
        <is>
          <t>Вода и ирригация</t>
        </is>
      </c>
      <c r="B30" s="6" t="n">
        <v>0</v>
      </c>
      <c r="C30" s="9" t="inlineStr"/>
    </row>
    <row r="31" ht="21" customHeight="1">
      <c r="A31" s="9" t="inlineStr">
        <is>
          <t>Удобрения и средства защиты растений / ветеринария</t>
        </is>
      </c>
      <c r="B31" s="6" t="n">
        <v>0</v>
      </c>
      <c r="C31" s="9" t="inlineStr"/>
    </row>
    <row r="32" ht="21" customHeight="1">
      <c r="A32" s="9" t="inlineStr">
        <is>
          <t>Хранение и логистика</t>
        </is>
      </c>
      <c r="B32" s="6" t="n">
        <v>0</v>
      </c>
      <c r="C32" s="9" t="inlineStr"/>
    </row>
    <row r="33" ht="21" customHeight="1">
      <c r="A33" s="9" t="inlineStr">
        <is>
          <t>Страхование урожая/поголовья</t>
        </is>
      </c>
      <c r="B33" s="6" t="n">
        <v>0</v>
      </c>
      <c r="C33" s="9" t="inlineStr"/>
    </row>
    <row r="34">
      <c r="A34" s="10" t="inlineStr">
        <is>
          <t>Итого: ежемесячные операционные расходы</t>
        </is>
      </c>
      <c r="B34" s="11">
        <f>SUM(B27:B33)</f>
        <v/>
      </c>
      <c r="C34" s="12" t="n"/>
    </row>
    <row r="35"/>
    <row r="36">
      <c r="A36" s="5" t="inlineStr">
        <is>
          <t>Ежемесячная прибыль</t>
        </is>
      </c>
      <c r="B36" s="6">
        <f>B24-B34</f>
        <v/>
      </c>
    </row>
    <row r="37"/>
    <row r="38">
      <c r="A38" s="5" t="inlineStr">
        <is>
          <t>Срок выхода на окупаемость, мес.</t>
        </is>
      </c>
      <c r="B38" s="9">
        <f>IFERROR(B7/B36,"—")</f>
        <v/>
      </c>
      <c r="C38" s="9">
        <f> Начальные инвестиции / Ежемесячная прибыль</f>
        <v/>
      </c>
    </row>
    <row r="39">
      <c r="A39" s="5" t="inlineStr">
        <is>
          <t>Рентабельность продаж, %</t>
        </is>
      </c>
      <c r="B39" s="13">
        <f>IFERROR(B36/B24*100,"—")</f>
        <v/>
      </c>
      <c r="C39" s="9">
        <f> Ежемесячная прибыль / Выручка × 100%</f>
        <v/>
      </c>
    </row>
    <row r="40"/>
    <row r="41" ht="40" customHeight="1">
      <c r="A41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41:C4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