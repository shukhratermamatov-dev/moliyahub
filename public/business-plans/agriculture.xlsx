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Финансовый 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b val="1"/>
      <color rgb="00FFFFFF"/>
      <sz val="12"/>
    </font>
    <font>
      <i val="1"/>
      <color rgb="0064748B"/>
    </font>
    <font>
      <b val="1"/>
    </font>
    <font>
      <b val="1"/>
      <i val="1"/>
    </font>
    <font>
      <i val="1"/>
      <color rgb="001D4ED8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pivotButton="0" quotePrefix="0" xfId="0"/>
    <xf numFmtId="0" fontId="2" fillId="0" borderId="1" applyAlignment="1" pivotButton="0" quotePrefix="0" xfId="0">
      <alignment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6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1" t="inlineStr">
        <is>
          <t>ФИНАНСОВЫЙ ПЛАН: СЕЛЬСКОЕ, ЛЕСНОЕ И РЫБНОЕ ХОЗЯЙСТВО — ПРИМЕР РАСЧЁТА</t>
        </is>
      </c>
    </row>
    <row r="2" ht="65" customHeight="1">
      <c r="A2" s="2" t="inlineStr">
        <is>
          <t>Этот файл дополняет текстовый документ бизнес-плана MoliyaHub для отрасли «Сельское, лесное и рыбное хозяйство» (резюме, анализ рынка, маркетинговый/операционный/организационный план, риски — в Word-файле с тем же названием). Здесь — расчётная часть с рабочими формулами, уже заполненная цифрами ПРИМЕРА (иллюстративная компания из резюме бизнес-плана, не реальный заёмщик) — чтобы показать порядок величины и логику расчёта. Перед подачей в банк или инвестору замените суммы на данные своего проекта.</t>
        </is>
      </c>
    </row>
    <row r="3"/>
    <row r="4">
      <c r="A4" s="3" t="inlineStr">
        <is>
          <t>Статья</t>
        </is>
      </c>
      <c r="B4" s="3" t="inlineStr">
        <is>
          <t>Сумма, сум</t>
        </is>
      </c>
      <c r="C4" s="3" t="inlineStr">
        <is>
          <t>Комментарий</t>
        </is>
      </c>
    </row>
    <row r="5" ht="45" customHeight="1">
      <c r="A5" s="4" t="inlineStr">
        <is>
          <t>Столбец «Сумма, сум» уже заполнен примером расчёта для иллюстративной компании из этого бизнес-плана — на основе рыночных ориентиров 2025-2026 года (там, где источник известен — со ссылкой в комментарии) или экспертной оценки порядка величины (это тоже отмечено). Итоги, прибыль, срок окупаемости и рентабельность ниже пересчитаются автоматически (это формулы). Замените суммы в столбце B на данные вашего собственного проекта — тогда пересчитается всё.</t>
        </is>
      </c>
    </row>
    <row r="6"/>
    <row r="7">
      <c r="A7" s="5" t="inlineStr">
        <is>
          <t>Начальные инвестиции (требуемая сумма)</t>
        </is>
      </c>
      <c r="B7" s="6">
        <f>B17</f>
        <v/>
      </c>
    </row>
    <row r="8"/>
    <row r="9">
      <c r="A9" s="7" t="inlineStr">
        <is>
          <t>Стартовые затраты (единоразово)</t>
        </is>
      </c>
      <c r="B9" s="8" t="n"/>
      <c r="C9" s="8" t="n"/>
    </row>
    <row r="10" ht="36" customHeight="1">
      <c r="A10" s="9" t="inlineStr">
        <is>
          <t>Аренда/оформление земельного участка</t>
        </is>
      </c>
      <c r="B10" s="6" t="n">
        <v>25000000</v>
      </c>
      <c r="C10" s="9" t="inlineStr">
        <is>
          <t>Пример: оценка: оформление долгосрочной аренды с/х земли (5 га) и кадастровые работы в Самаркандской обл.</t>
        </is>
      </c>
    </row>
    <row r="11" ht="36" customHeight="1">
      <c r="A11" s="9" t="inlineStr">
        <is>
          <t>Семена/посадочный материал или молодняк скота</t>
        </is>
      </c>
      <c r="B11" s="6" t="n">
        <v>182000000</v>
      </c>
      <c r="C11" s="9" t="inlineStr">
        <is>
          <t>Пример: оценка: ~2800 саженцев/га × 5 га = 14000 саженцев × ~13 тыс. сум/саженец (сертифицированный посадочный материал)</t>
        </is>
      </c>
    </row>
    <row r="12" ht="36" customHeight="1">
      <c r="A12" s="9" t="inlineStr">
        <is>
          <t>Сельхозтехника и инвентарь</t>
        </is>
      </c>
      <c r="B12" s="6" t="n">
        <v>90000000</v>
      </c>
      <c r="C12" s="9" t="inlineStr">
        <is>
          <t>покупка или лизинг через Uzagrolizing — Пример: оценка: минитрактор, опрыскиватель, мульчер, ручной инвентарь</t>
        </is>
      </c>
    </row>
    <row r="13" ht="51" customHeight="1">
      <c r="A13" s="9" t="inlineStr">
        <is>
          <t>Ирригационная система (капельное орошение)</t>
        </is>
      </c>
      <c r="B13" s="6" t="n">
        <v>120000000</v>
      </c>
      <c r="C13" s="9" t="inlineStr">
        <is>
          <t>при необходимости — Пример: оценка ~$2000/га — ориентир по системам капельного орошения для интенсивных садов; точного локального источника не найдено</t>
        </is>
      </c>
    </row>
    <row r="14" ht="36" customHeight="1">
      <c r="A14" s="9" t="inlineStr">
        <is>
          <t>Хозпостройки / теплицы / загоны</t>
        </is>
      </c>
      <c r="B14" s="6" t="n">
        <v>70000000</v>
      </c>
      <c r="C14" s="9" t="inlineStr">
        <is>
          <t>Пример: оценка: навесы, ограждение участка, бытовые постройки</t>
        </is>
      </c>
    </row>
    <row r="15" ht="51" customHeight="1">
      <c r="A15" s="9" t="inlineStr">
        <is>
          <t>Холодильная камера / мини-хранилище</t>
        </is>
      </c>
      <c r="B15" s="6" t="n">
        <v>130000000</v>
      </c>
      <c r="C15" s="9" t="inlineStr">
        <is>
          <t>снижает потери урожая при хранении — Пример: оценка: строительство и оснащение малой холодильной камеры для овощехранилища</t>
        </is>
      </c>
    </row>
    <row r="16" ht="21" customHeight="1">
      <c r="A16" s="9" t="inlineStr">
        <is>
          <t>Регистрация фермерского хозяйства</t>
        </is>
      </c>
      <c r="B16" s="6" t="n">
        <v>3000000</v>
      </c>
      <c r="C16" s="9" t="inlineStr">
        <is>
          <t>Пример: оценка: госпошлины и оформление документов</t>
        </is>
      </c>
    </row>
    <row r="17">
      <c r="A17" s="10" t="inlineStr">
        <is>
          <t>Итого: стартовые затраты (единоразово)</t>
        </is>
      </c>
      <c r="B17" s="11">
        <f>SUM(B10:B16)</f>
        <v/>
      </c>
      <c r="C17" s="12" t="n"/>
    </row>
    <row r="18"/>
    <row r="19">
      <c r="A19" s="7" t="inlineStr">
        <is>
          <t>Ежемесячная выручка</t>
        </is>
      </c>
      <c r="B19" s="8" t="n"/>
      <c r="C19" s="8" t="n"/>
    </row>
    <row r="20" ht="51" customHeight="1">
      <c r="A20" s="9" t="inlineStr">
        <is>
          <t>Продажа урожая/продукции оптовым закупщикам</t>
        </is>
      </c>
      <c r="B20" s="6" t="n">
        <v>12500000</v>
      </c>
      <c r="C20" s="9" t="inlineStr">
        <is>
          <t>Пример: среднемесячное значение за 3-й год (первый ЧАСТИЧНЫЙ товарный урожай, ~9 т/га из потенциала 18-20 т/га на пике) — см. примечание ниже</t>
        </is>
      </c>
    </row>
    <row r="21" ht="36" customHeight="1">
      <c r="A21" s="9" t="inlineStr">
        <is>
          <t>Продажа на рынке / через кооператив</t>
        </is>
      </c>
      <c r="B21" s="6" t="n">
        <v>3000000</v>
      </c>
      <c r="C21" s="9" t="inlineStr">
        <is>
          <t>Пример: 15% от годовой выручки года 3, распределено по месяцам — оценка</t>
        </is>
      </c>
    </row>
    <row r="22" ht="36" customHeight="1">
      <c r="A22" s="9" t="inlineStr">
        <is>
          <t>Переработка (сушка, соки, консервация)</t>
        </is>
      </c>
      <c r="B22" s="6" t="n">
        <v>2000000</v>
      </c>
      <c r="C22" s="9" t="inlineStr">
        <is>
          <t>добавленная стоимость к сырому урожаю — Пример: 10% от годовой выручки года 3 — переработка некондиционных яблок</t>
        </is>
      </c>
    </row>
    <row r="23" ht="51" customHeight="1">
      <c r="A23" s="9" t="inlineStr">
        <is>
          <t>Экспортные контракты</t>
        </is>
      </c>
      <c r="B23" s="6" t="n">
        <v>3000000</v>
      </c>
      <c r="C23" s="9" t="inlineStr">
        <is>
          <t>при выходе на объём и наличии сертификации — Пример: 15% от годовой выручки года 3 — объём пока ограничен на этапе выхода на плодоношение</t>
        </is>
      </c>
    </row>
    <row r="24">
      <c r="A24" s="10" t="inlineStr">
        <is>
          <t>Итого: ежемесячная выручка</t>
        </is>
      </c>
      <c r="B24" s="11">
        <f>SUM(B20:B23)</f>
        <v/>
      </c>
      <c r="C24" s="12" t="n"/>
    </row>
    <row r="25"/>
    <row r="26">
      <c r="A26" s="7" t="inlineStr">
        <is>
          <t>Ежемесячные операционные расходы</t>
        </is>
      </c>
      <c r="B26" s="8" t="n"/>
      <c r="C26" s="8" t="n"/>
    </row>
    <row r="27" ht="36" customHeight="1">
      <c r="A27" s="9" t="inlineStr">
        <is>
          <t>Семена / корма</t>
        </is>
      </c>
      <c r="B27" s="6" t="n">
        <v>1500000</v>
      </c>
      <c r="C27" s="9" t="inlineStr">
        <is>
          <t>Пример: оценка: докупка/замена части саженцев, мульчирующие материалы</t>
        </is>
      </c>
    </row>
    <row r="28" ht="36" customHeight="1">
      <c r="A28" s="9" t="inlineStr">
        <is>
          <t>ГСМ и обслуживание техники</t>
        </is>
      </c>
      <c r="B28" s="6" t="n">
        <v>2000000</v>
      </c>
      <c r="C28" s="9" t="inlineStr">
        <is>
          <t>Пример: оценка эксплуатационных расходов минитрактора и опрыскивателя</t>
        </is>
      </c>
    </row>
    <row r="29" ht="36" customHeight="1">
      <c r="A29" s="9" t="inlineStr">
        <is>
          <t>Оплата труда сезонных работников</t>
        </is>
      </c>
      <c r="B29" s="6" t="n">
        <v>5500000</v>
      </c>
      <c r="C29" s="9" t="inlineStr">
        <is>
          <t>Пример: 1 постоянный бригадир (~3 млн) + сезонные работники на обрезку/сбор (~2,5 млн в среднем по году)</t>
        </is>
      </c>
    </row>
    <row r="30" ht="36" customHeight="1">
      <c r="A30" s="9" t="inlineStr">
        <is>
          <t>Вода и ирригация</t>
        </is>
      </c>
      <c r="B30" s="6" t="n">
        <v>2000000</v>
      </c>
      <c r="C30" s="9" t="inlineStr">
        <is>
          <t>Пример: оценка платы за воду и электроэнергию для насосов капельного орошения</t>
        </is>
      </c>
    </row>
    <row r="31" ht="21" customHeight="1">
      <c r="A31" s="9" t="inlineStr">
        <is>
          <t>Удобрения и средства защиты растений / ветеринария</t>
        </is>
      </c>
      <c r="B31" s="6" t="n">
        <v>3500000</v>
      </c>
      <c r="C31" s="9" t="inlineStr">
        <is>
          <t>Пример: оценка на 5 га интенсивного сада</t>
        </is>
      </c>
    </row>
    <row r="32" ht="36" customHeight="1">
      <c r="A32" s="9" t="inlineStr">
        <is>
          <t>Хранение и логистика</t>
        </is>
      </c>
      <c r="B32" s="6" t="n">
        <v>2500000</v>
      </c>
      <c r="C32" s="9" t="inlineStr">
        <is>
          <t>Пример: оценка эксплуатации холодильной камеры и транспортировки продукции</t>
        </is>
      </c>
    </row>
    <row r="33" ht="36" customHeight="1">
      <c r="A33" s="9" t="inlineStr">
        <is>
          <t>Страхование урожая/поголовья</t>
        </is>
      </c>
      <c r="B33" s="6" t="n">
        <v>1000000</v>
      </c>
      <c r="C33" s="9" t="inlineStr">
        <is>
          <t>Пример: оценка страховой премии агрострахования, распределённой по месяцам</t>
        </is>
      </c>
    </row>
    <row r="34">
      <c r="A34" s="10" t="inlineStr">
        <is>
          <t>Итого: ежемесячные операционные расходы</t>
        </is>
      </c>
      <c r="B34" s="11">
        <f>SUM(B27:B33)</f>
        <v/>
      </c>
      <c r="C34" s="12" t="n"/>
    </row>
    <row r="35"/>
    <row r="36">
      <c r="A36" s="5" t="inlineStr">
        <is>
          <t>Ежемесячная прибыль</t>
        </is>
      </c>
      <c r="B36" s="6">
        <f>B24-B34</f>
        <v/>
      </c>
    </row>
    <row r="37"/>
    <row r="38">
      <c r="A38" s="5" t="inlineStr">
        <is>
          <t>Срок выхода на окупаемость, мес.</t>
        </is>
      </c>
      <c r="B38" s="9">
        <f>IFERROR(B7/B36,"—")</f>
        <v/>
      </c>
      <c r="C38" s="9" t="inlineStr">
        <is>
          <t>Формула: Начальные инвестиции ÷ Ежемесячная прибыль</t>
        </is>
      </c>
    </row>
    <row r="39">
      <c r="A39" s="5" t="inlineStr">
        <is>
          <t>Рентабельность продаж, %</t>
        </is>
      </c>
      <c r="B39" s="13">
        <f>IFERROR(B36/B24*100,"—")</f>
        <v/>
      </c>
      <c r="C39" s="9" t="inlineStr">
        <is>
          <t>Формула: Ежемесячная прибыль ÷ Выручка × 100%</t>
        </is>
      </c>
    </row>
    <row r="40"/>
    <row r="41" ht="140" customHeight="1">
      <c r="A41" s="14" t="inlineStr">
        <is>
          <t>Как считался этот пример: ВАЖНО про сад: сумма стартовых затрат (620 млн сум) точно соответствует резюме. Но приведённая выручка — это средний месяц ИМЕННО 3-го года (первый товарный, но частичный урожай). При таком урожае прибыль года 3 — лишь ≈2,5 млн сум/мес, что само по себе не даёт окупаемость за 5-6 лет. Заявленный в резюме срок 5-6 лет реалистичен только для проекта целиком: годы 1-2 — закладка сада без товарного урожая, год 3 — частичный урожай (показан здесь), годы 4-6 — урожайность растёт к пиковой, и накопленная за эти годы прибыль покрывает инвестиции. Это нормальная особенность садоводческих/многолетних проектов — окупаемость считается по накопленному денежному потоку за годы, а не по прибыли одного месяца.</t>
        </is>
      </c>
    </row>
    <row r="42"/>
    <row r="43" ht="55" customHeight="1">
      <c r="A43" s="4" t="inlineStr">
        <is>
          <t>Это пример расчёта для иллюстративной компании, а не готовая заявка на кредит и не проверенные рыночные данные о реальном бизнесе. Суммы в столбце B — рабочие формулы: замените их на цифры вашего проекта, и итоги, прибыль, срок окупаемости и рентабельность пересчитаются автоматически. Там, где в комментарии указан источник — это ориентир на 2025-2026 год, проверяйте актуальность перед подачей документов в банк; где указана «экспертная оценка» — это иллюстрация порядка величины, а не факт.</t>
        </is>
      </c>
    </row>
  </sheetData>
  <mergeCells count="4">
    <mergeCell ref="A5:C5"/>
    <mergeCell ref="A43:C43"/>
    <mergeCell ref="A41:C4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2026-09-12T07:41:32Z</dcterms:created>
  <dcterms:modified xmlns:dcterms="http://purl.org/dc/terms/" xmlns:xsi="http://www.w3.org/2001/XMLSchema-instance" xsi:type="dcterms:W3CDTF">2026-09-12T07:41:32Z</dcterms:modified>
</cp:coreProperties>
</file>