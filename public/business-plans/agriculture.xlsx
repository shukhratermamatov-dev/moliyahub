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итульный лист" sheetId="1" state="visible" r:id="rId1"/>
    <sheet xmlns:r="http://schemas.openxmlformats.org/officeDocument/2006/relationships" name="Резюме проекта" sheetId="2" state="visible" r:id="rId2"/>
    <sheet xmlns:r="http://schemas.openxmlformats.org/officeDocument/2006/relationships" name="Анализ рынка" sheetId="3" state="visible" r:id="rId3"/>
    <sheet xmlns:r="http://schemas.openxmlformats.org/officeDocument/2006/relationships" name="План и риски" sheetId="4" state="visible" r:id="rId4"/>
    <sheet xmlns:r="http://schemas.openxmlformats.org/officeDocument/2006/relationships" name="Финансовый план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b val="1"/>
      <color rgb="0014532D"/>
      <sz val="18"/>
    </font>
    <font>
      <i val="1"/>
      <color rgb="0064748B"/>
      <sz val="12"/>
    </font>
    <font>
      <sz val="12"/>
    </font>
    <font>
      <b val="1"/>
      <color rgb="0014532D"/>
      <sz val="13"/>
    </font>
    <font>
      <i val="1"/>
      <color rgb="001D4ED8"/>
    </font>
    <font>
      <b val="1"/>
    </font>
    <font>
      <b val="1"/>
      <color rgb="00FFFFFF"/>
      <sz val="12"/>
    </font>
    <font>
      <i val="1"/>
      <color rgb="0064748B"/>
    </font>
    <font>
      <b val="1"/>
      <i val="1"/>
    </font>
  </fonts>
  <fills count="6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14532D"/>
      </patternFill>
    </fill>
    <fill>
      <patternFill patternType="solid">
        <fgColor rgb="00E2E8F0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0" applyAlignment="1" pivotButton="0" quotePrefix="0" xfId="0">
      <alignment vertical="top" wrapText="1"/>
    </xf>
    <xf numFmtId="0" fontId="6" fillId="0" borderId="0" pivotButton="0" quotePrefix="0" xfId="0"/>
    <xf numFmtId="0" fontId="7" fillId="3" borderId="1" pivotButton="0" quotePrefix="0" xfId="0"/>
    <xf numFmtId="0" fontId="8" fillId="0" borderId="1" applyAlignment="1" pivotButton="0" quotePrefix="0" xfId="0">
      <alignment vertical="top" wrapText="1"/>
    </xf>
    <xf numFmtId="0" fontId="6" fillId="0" borderId="1" pivotButton="0" quotePrefix="0" xfId="0"/>
    <xf numFmtId="3" fontId="0" fillId="0" borderId="1" pivotButton="0" quotePrefix="0" xfId="0"/>
    <xf numFmtId="0" fontId="6" fillId="4" borderId="1" pivotButton="0" quotePrefix="0" xfId="0"/>
    <xf numFmtId="0" fontId="0" fillId="4" borderId="0" pivotButton="0" quotePrefix="0" xfId="0"/>
    <xf numFmtId="0" fontId="0" fillId="0" borderId="1" pivotButton="0" quotePrefix="0" xfId="0"/>
    <xf numFmtId="0" fontId="9" fillId="5" borderId="1" pivotButton="0" quotePrefix="0" xfId="0"/>
    <xf numFmtId="3" fontId="0" fillId="5" borderId="1" pivotButton="0" quotePrefix="0" xfId="0"/>
    <xf numFmtId="0" fontId="0" fillId="5" borderId="0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БИЗНЕС-ПЛАН: СЕЛЬСКОЕ, ЛЕСНОЕ И РЫБНОЕ ХОЗЯЙСТВО</t>
        </is>
      </c>
    </row>
    <row r="2">
      <c r="A2" s="2" t="inlineStr">
        <is>
          <t>Пример: фермерское хозяйство (растениеводство или животноводство)</t>
        </is>
      </c>
    </row>
    <row r="4">
      <c r="A4" s="3" t="inlineStr">
        <is>
          <t>Название проекта: [впишите]</t>
        </is>
      </c>
    </row>
    <row r="5">
      <c r="A5" s="3" t="inlineStr">
        <is>
          <t>Автор / компания: [впишите]</t>
        </is>
      </c>
    </row>
    <row r="6">
      <c r="A6" s="3" t="inlineStr">
        <is>
          <t>Регион реализации: [впишите]</t>
        </is>
      </c>
    </row>
    <row r="7">
      <c r="A7" s="3" t="inlineStr">
        <is>
          <t>Требуемая сумма инвестиций, сум: [впишите]</t>
        </is>
      </c>
    </row>
    <row r="8">
      <c r="A8" s="3" t="inlineStr">
        <is>
          <t>Дата: [впишите]</t>
        </is>
      </c>
    </row>
    <row r="10" ht="90" customHeight="1">
      <c r="A10" s="4" t="inlineStr">
        <is>
          <t>Это готовый образец (шаблон) бизнес-плана MoliyaHub для отрасли «Сельское, лесное и рыбное хозяйство». Замените текст в квадратных скобках [впишите] и примеры на данные вашего проекта, добавьте или удалите строки в таблицах по необходимости. Абзацы, отмеченные как «ПРИМЕР», — иллюстрация формата ответа, а не факты о реальной компании; замените их своими данными. Суммы в листе «Финансовый план» пересчитываются автоматически по формулам — просто впишите свои цифры в столбец «Сумма, сум».</t>
        </is>
      </c>
    </row>
  </sheetData>
  <mergeCells count="1"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Резюме проекта</t>
        </is>
      </c>
    </row>
    <row r="2" ht="89" customHeight="1">
      <c r="A2" s="6" t="inlineStr">
        <is>
          <t>ПРИМЕР (иллюстрация, не данные реальной компании): Фермерское хозяйство «Bog' Diyori» в Самаркандской области закладывает интенсивный яблоневый сад на 5 га по капельному орошению и строит небольшое овощехранилище с холодильной камерой. Требуемые инвестиции — 620 млн сум; выход на товарный урожай — с 3-го года, окупаемость сада с учётом хранения продукции — ориентировочно 5-6 лет.</t>
        </is>
      </c>
    </row>
    <row r="3" ht="44" customHeight="1">
      <c r="A3" s="4" t="inlineStr">
        <is>
          <t>[Впишите] В 5-8 предложениях: суть проекта, какую проблему решает, для кого, требуемая сумма инвестиций и на что она пойдёт, ожидаемый результат (выручка/прибыль/срок окупаемости).</t>
        </is>
      </c>
    </row>
    <row r="5">
      <c r="A5" s="5" t="inlineStr">
        <is>
          <t>Описание компании / проекта</t>
        </is>
      </c>
    </row>
    <row r="6" ht="70" customHeight="1">
      <c r="A6" s="4" t="inlineStr">
        <is>
          <t>[Впишите] Организационно-правовая форма (ИП/ООО/фермерское хозяйство), команда, текущий статус проекта (идея / MVP / действующий бизнес), уникальное торговое предложение.</t>
        </is>
      </c>
    </row>
  </sheetData>
  <mergeCells count="3">
    <mergeCell ref="A3:D3"/>
    <mergeCell ref="A2:D2"/>
    <mergeCell ref="A6:D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Анализ рынка: Сельское, лесное и рыбное хозяйство</t>
        </is>
      </c>
    </row>
    <row r="2" ht="59" customHeight="1">
      <c r="A2" s="4" t="inlineStr">
        <is>
          <t>•  Сельское хозяйство исторически остаётся одним из крупнейших секторов экономики Узбекистана по числу занятых, особенно в сельской местности — точную актуальную долю в ВВП на момент вашего запуска уточняйте по данным Госкомстата (stat.uz).</t>
        </is>
      </c>
    </row>
    <row r="3" ht="59" customHeight="1">
      <c r="A3" s="4" t="inlineStr">
        <is>
          <t>•  Узбекистан входит в число ведущих мировых производителей и экспортёров хлопка-волокна, а также является крупным производителем плодоовощной продукции, винограда и бахчевых в Центральной Азии.</t>
        </is>
      </c>
    </row>
    <row r="4" ht="59" customHeight="1">
      <c r="A4" s="4" t="inlineStr">
        <is>
          <t>•  Действуют программы льготного кредитования фермеров (Агробанк, лизинг сельхозтехники через Uzagrolizing) и субсидии на удобрения/технику — условия и ставки меняются по годам, уточняйте актуальные на момент запуска в местном хокимияте или банке.</t>
        </is>
      </c>
    </row>
    <row r="5" ht="74" customHeight="1">
      <c r="A5" s="4" t="inlineStr">
        <is>
          <t>•  Растёт спрос на плодоовощную продукцию и продукты переработки как на внутреннем рынке, так и на экспорт (Россия, Казахстан, страны Персидского залива) — но экспорт свежей продукции требует холодильной логистики, без которой значительная часть урожая теряется при хранении и транспортировке.</t>
        </is>
      </c>
    </row>
    <row r="6" ht="59" customHeight="1">
      <c r="A6" s="4" t="inlineStr">
        <is>
          <t>•  Для сравнения: Казахстан и Россия — крупные рынки сбыта для узбекского плодоовощного экспорта, но одновременно наращивают собственное тепличное производство (особенно Казахстан), что усиливает сезонную ценовую конкуренцию именно в межсезонье.</t>
        </is>
      </c>
    </row>
    <row r="7" ht="59" customHeight="1">
      <c r="A7" s="4" t="inlineStr">
        <is>
          <t>•  Государство продолжает реформу земельных отношений и развитие кластерной модели в отдельных культурах (хлопок, зерно, плодоовощи) — при выборе культуры стоит уточнить, действует ли в регионе кластер и какие обязательства/льготы он даёт.</t>
        </is>
      </c>
    </row>
    <row r="8" ht="59" customHeight="1">
      <c r="A8" s="4" t="inlineStr">
        <is>
          <t>•  [Впишите] Урожайность/продуктивность для вашей культуры или вида скота в вашем регионе, закупочные цены — эти данные лучше уточнить у местного хокимията, отраслевой ассоциации или в статистике stat.uz по конкретному региону.</t>
        </is>
      </c>
    </row>
    <row r="10">
      <c r="A10" s="5" t="inlineStr">
        <is>
          <t>Конкуренты</t>
        </is>
      </c>
    </row>
    <row r="11" ht="45" customHeight="1">
      <c r="A11" s="4" t="inlineStr">
        <is>
          <t>[Впишите] Список из 3-5 прямых конкурентов, их сильные и слабые стороны, чем вы отличаетесь.</t>
        </is>
      </c>
    </row>
    <row r="12">
      <c r="A12" s="5" t="inlineStr">
        <is>
          <t>Целевая аудитория</t>
        </is>
      </c>
    </row>
    <row r="13" ht="45" customHeight="1">
      <c r="A13" s="4" t="inlineStr">
        <is>
          <t>[Впишите] Портрет основного клиента: кто он, что для него важно при выборе, где его найти.</t>
        </is>
      </c>
    </row>
  </sheetData>
  <mergeCells count="9">
    <mergeCell ref="A5:D5"/>
    <mergeCell ref="A8:D8"/>
    <mergeCell ref="A6:D6"/>
    <mergeCell ref="A4:D4"/>
    <mergeCell ref="A3:D3"/>
    <mergeCell ref="A7:D7"/>
    <mergeCell ref="A2:D2"/>
    <mergeCell ref="A11:D11"/>
    <mergeCell ref="A13:D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Маркетинговый план</t>
        </is>
      </c>
    </row>
    <row r="2" ht="74" customHeight="1">
      <c r="A2" s="6" t="inlineStr">
        <is>
          <t>ПРИМЕР (иллюстрация, не данные реальной компании): Продажа урожая по прямым договорам с оптовыми базами Ташкента и 1-2 сетями супермаркетов; часть продукции — через фермерский кооператив для консолидации партий под экспорт; цена — на уровне региональных закупочных с наценкой за сортировку и калибровку плодов.</t>
        </is>
      </c>
    </row>
    <row r="3" ht="30" customHeight="1">
      <c r="A3" s="4" t="inlineStr">
        <is>
          <t>[Впишите] Ценообразование, каналы продвижения и продаж, план привлечения первых клиентов.</t>
        </is>
      </c>
    </row>
    <row r="4">
      <c r="A4" s="5" t="inlineStr">
        <is>
          <t>Операционный план</t>
        </is>
      </c>
    </row>
    <row r="5" ht="74" customHeight="1">
      <c r="A5" s="6" t="inlineStr">
        <is>
          <t>ПРИМЕР (иллюстрация, не данные реальной компании): Цикл: подготовка почвы и посадка → капельное орошение и уход → сбор урожая → сортировка и хранение в холодильной камере → отгрузка. Ключевые поставщики — питомник саженцев, поставщик систем капельного орошения. Требуется регистрация фермерского хозяйства и оформление земельного участка.</t>
        </is>
      </c>
    </row>
    <row r="6" ht="44" customHeight="1">
      <c r="A6" s="4" t="inlineStr">
        <is>
          <t>[Впишите] Процесс производства/оказания услуги, ключевые поставщики, оборудование, необходимые лицензии и разрешения.</t>
        </is>
      </c>
    </row>
    <row r="7">
      <c r="A7" s="5" t="inlineStr">
        <is>
          <t>Организационный план</t>
        </is>
      </c>
    </row>
    <row r="8" ht="59" customHeight="1">
      <c r="A8" s="6" t="inlineStr">
        <is>
          <t>ПРИМЕР (иллюстрация, не данные реальной компании): Глава фермерского хозяйства, агроном на полставки, 2 постоянных работника, до 10 сезонных на сбор урожая. Форма — фермерское хозяйство (дехканское или фермерское, в зависимости от площади и культуры).</t>
        </is>
      </c>
    </row>
    <row r="9" ht="30" customHeight="1">
      <c r="A9" s="4" t="inlineStr">
        <is>
          <t>[Впишите] Команда и роли, штатное расписание, организационно-правовая форма.</t>
        </is>
      </c>
    </row>
    <row r="10">
      <c r="A10" s="5" t="inlineStr">
        <is>
          <t>Риски и меры по их снижению (примеры для отрасли)</t>
        </is>
      </c>
    </row>
    <row r="12">
      <c r="A12" s="7" t="inlineStr">
        <is>
          <t>Риск</t>
        </is>
      </c>
      <c r="C12" s="7" t="inlineStr">
        <is>
          <t>Меры снижения</t>
        </is>
      </c>
    </row>
    <row r="13" ht="44" customHeight="1">
      <c r="A13" s="4" t="inlineStr">
        <is>
          <t>Погодные и климатические риски (засуха, заморозки, град)</t>
        </is>
      </c>
      <c r="C13" s="4" t="inlineStr">
        <is>
          <t>Страхование урожая, эффективная капельная ирригация, снижающая зависимость от осадков</t>
        </is>
      </c>
    </row>
    <row r="14" ht="59" customHeight="1">
      <c r="A14" s="4" t="inlineStr">
        <is>
          <t>Волатильность закупочных цен в сезон массового сбора урожая</t>
        </is>
      </c>
      <c r="C14" s="4" t="inlineStr">
        <is>
          <t>Долгосрочные контракты с переработчиками/сетями, собственное или кооперативное хранение для продажи в межсезонье</t>
        </is>
      </c>
    </row>
    <row r="15" ht="44" customHeight="1">
      <c r="A15" s="4" t="inlineStr">
        <is>
          <t>Вредители, болезни растений и животных</t>
        </is>
      </c>
      <c r="C15" s="4" t="inlineStr">
        <is>
          <t>Агро-/ветконсультации, севооборот, профилактические обработки по графику</t>
        </is>
      </c>
    </row>
    <row r="16" ht="44" customHeight="1">
      <c r="A16" s="4" t="inlineStr">
        <is>
          <t>Дефицит и рост стоимости поливной воды в пиковый сезон</t>
        </is>
      </c>
      <c r="C16" s="4" t="inlineStr">
        <is>
          <t>Капельное орошение, водосберегающие технологии, чёткий график полива</t>
        </is>
      </c>
    </row>
    <row r="17" ht="44" customHeight="1">
      <c r="A17" s="4" t="inlineStr">
        <is>
          <t>Потери урожая из-за отсутствия холодильного хранения и логистики</t>
        </is>
      </c>
      <c r="C17" s="4" t="inlineStr">
        <is>
          <t>Инвестиции в мини-хранилище или партнёрство с логистическим оператором для холодной цепи</t>
        </is>
      </c>
    </row>
    <row r="18" ht="59" customHeight="1">
      <c r="A18" s="4" t="inlineStr">
        <is>
          <t>Изменение условий льготного кредитования и субсидий</t>
        </is>
      </c>
      <c r="C18" s="4" t="inlineStr">
        <is>
          <t>Диверсификация источников финансирования, не полагаться только на господдержку в расчёте окупаемости</t>
        </is>
      </c>
    </row>
    <row r="20" ht="30" customHeight="1">
      <c r="A20" s="4" t="inlineStr">
        <is>
          <t>[Впишите] Дополните таблицу своими рисками, специфичными для вашего проекта и региона.</t>
        </is>
      </c>
    </row>
  </sheetData>
  <mergeCells count="21">
    <mergeCell ref="A5:D5"/>
    <mergeCell ref="A8:D8"/>
    <mergeCell ref="A15:B15"/>
    <mergeCell ref="C15:D15"/>
    <mergeCell ref="A20:D20"/>
    <mergeCell ref="C14:D14"/>
    <mergeCell ref="A9:D9"/>
    <mergeCell ref="A16:B16"/>
    <mergeCell ref="C16:D16"/>
    <mergeCell ref="A18:B18"/>
    <mergeCell ref="A12:B12"/>
    <mergeCell ref="C12:D12"/>
    <mergeCell ref="A6:D6"/>
    <mergeCell ref="A14:B14"/>
    <mergeCell ref="A17:B17"/>
    <mergeCell ref="C17:D17"/>
    <mergeCell ref="A3:D3"/>
    <mergeCell ref="A13:B13"/>
    <mergeCell ref="C13:D13"/>
    <mergeCell ref="A2:D2"/>
    <mergeCell ref="C18:D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55" customWidth="1" min="3" max="3"/>
  </cols>
  <sheetData>
    <row r="1">
      <c r="A1" s="8" t="inlineStr">
        <is>
          <t>Статья</t>
        </is>
      </c>
      <c r="B1" s="8" t="inlineStr">
        <is>
          <t>Сумма, сум</t>
        </is>
      </c>
      <c r="C1" s="8" t="inlineStr">
        <is>
          <t>Комментарий</t>
        </is>
      </c>
    </row>
    <row r="2" ht="30" customHeight="1">
      <c r="A2" s="9" t="inlineStr">
        <is>
          <t>Впишите свои суммы в столбец «Сумма, сум» напротив каждой строки — итоги и срок окупаемости ниже пересчитаются автоматически (это формулы, не готовые числа). Строки без сумм — примерные статьи для вашей отрасли, добавляйте свои при необходимости.</t>
        </is>
      </c>
    </row>
    <row r="3"/>
    <row r="4">
      <c r="A4" s="10" t="inlineStr">
        <is>
          <t>Начальные инвестиции (требуемая сумма)</t>
        </is>
      </c>
      <c r="B4" s="11" t="n">
        <v>0</v>
      </c>
    </row>
    <row r="5"/>
    <row r="6">
      <c r="A6" s="12" t="inlineStr">
        <is>
          <t>Стартовые затраты (единоразово)</t>
        </is>
      </c>
      <c r="B6" s="13" t="n"/>
      <c r="C6" s="13" t="n"/>
    </row>
    <row r="7" ht="21" customHeight="1">
      <c r="A7" s="14" t="inlineStr">
        <is>
          <t>Аренда/оформление земельного участка</t>
        </is>
      </c>
      <c r="B7" s="11" t="n">
        <v>0</v>
      </c>
      <c r="C7" s="14" t="inlineStr"/>
    </row>
    <row r="8" ht="21" customHeight="1">
      <c r="A8" s="14" t="inlineStr">
        <is>
          <t>Семена/посадочный материал или молодняк скота</t>
        </is>
      </c>
      <c r="B8" s="11" t="n">
        <v>0</v>
      </c>
      <c r="C8" s="14" t="inlineStr"/>
    </row>
    <row r="9" ht="21" customHeight="1">
      <c r="A9" s="14" t="inlineStr">
        <is>
          <t>Сельхозтехника и инвентарь</t>
        </is>
      </c>
      <c r="B9" s="11" t="n">
        <v>0</v>
      </c>
      <c r="C9" s="14" t="inlineStr">
        <is>
          <t>покупка или лизинг через Uzagrolizing</t>
        </is>
      </c>
    </row>
    <row r="10" ht="21" customHeight="1">
      <c r="A10" s="14" t="inlineStr">
        <is>
          <t>Ирригационная система (капельное орошение)</t>
        </is>
      </c>
      <c r="B10" s="11" t="n">
        <v>0</v>
      </c>
      <c r="C10" s="14" t="inlineStr">
        <is>
          <t>при необходимости</t>
        </is>
      </c>
    </row>
    <row r="11" ht="21" customHeight="1">
      <c r="A11" s="14" t="inlineStr">
        <is>
          <t>Хозпостройки / теплицы / загоны</t>
        </is>
      </c>
      <c r="B11" s="11" t="n">
        <v>0</v>
      </c>
      <c r="C11" s="14" t="inlineStr"/>
    </row>
    <row r="12" ht="21" customHeight="1">
      <c r="A12" s="14" t="inlineStr">
        <is>
          <t>Холодильная камера / мини-хранилище</t>
        </is>
      </c>
      <c r="B12" s="11" t="n">
        <v>0</v>
      </c>
      <c r="C12" s="14" t="inlineStr">
        <is>
          <t>снижает потери урожая при хранении</t>
        </is>
      </c>
    </row>
    <row r="13" ht="21" customHeight="1">
      <c r="A13" s="14" t="inlineStr">
        <is>
          <t>Регистрация фермерского хозяйства</t>
        </is>
      </c>
      <c r="B13" s="11" t="n">
        <v>0</v>
      </c>
      <c r="C13" s="14" t="inlineStr"/>
    </row>
    <row r="14">
      <c r="A14" s="15" t="inlineStr">
        <is>
          <t>Итого: стартовые затраты (единоразово)</t>
        </is>
      </c>
      <c r="B14" s="16">
        <f>SUM(B7:B13)</f>
        <v/>
      </c>
      <c r="C14" s="17" t="n"/>
    </row>
    <row r="15"/>
    <row r="16">
      <c r="A16" s="12" t="inlineStr">
        <is>
          <t>Ежемесячная выручка</t>
        </is>
      </c>
      <c r="B16" s="13" t="n"/>
      <c r="C16" s="13" t="n"/>
    </row>
    <row r="17" ht="21" customHeight="1">
      <c r="A17" s="14" t="inlineStr">
        <is>
          <t>Продажа урожая/продукции оптовым закупщикам</t>
        </is>
      </c>
      <c r="B17" s="11" t="n">
        <v>0</v>
      </c>
      <c r="C17" s="14" t="inlineStr"/>
    </row>
    <row r="18" ht="21" customHeight="1">
      <c r="A18" s="14" t="inlineStr">
        <is>
          <t>Продажа на рынке / через кооператив</t>
        </is>
      </c>
      <c r="B18" s="11" t="n">
        <v>0</v>
      </c>
      <c r="C18" s="14" t="inlineStr"/>
    </row>
    <row r="19" ht="21" customHeight="1">
      <c r="A19" s="14" t="inlineStr">
        <is>
          <t>Переработка (сушка, соки, консервация)</t>
        </is>
      </c>
      <c r="B19" s="11" t="n">
        <v>0</v>
      </c>
      <c r="C19" s="14" t="inlineStr">
        <is>
          <t>добавленная стоимость к сырому урожаю</t>
        </is>
      </c>
    </row>
    <row r="20" ht="21" customHeight="1">
      <c r="A20" s="14" t="inlineStr">
        <is>
          <t>Экспортные контракты</t>
        </is>
      </c>
      <c r="B20" s="11" t="n">
        <v>0</v>
      </c>
      <c r="C20" s="14" t="inlineStr">
        <is>
          <t>при выходе на объём и наличии сертификации</t>
        </is>
      </c>
    </row>
    <row r="21">
      <c r="A21" s="15" t="inlineStr">
        <is>
          <t>Итого: ежемесячная выручка</t>
        </is>
      </c>
      <c r="B21" s="16">
        <f>SUM(B17:B20)</f>
        <v/>
      </c>
      <c r="C21" s="17" t="n"/>
    </row>
    <row r="22"/>
    <row r="23">
      <c r="A23" s="12" t="inlineStr">
        <is>
          <t>Ежемесячные операционные расходы</t>
        </is>
      </c>
      <c r="B23" s="13" t="n"/>
      <c r="C23" s="13" t="n"/>
    </row>
    <row r="24" ht="21" customHeight="1">
      <c r="A24" s="14" t="inlineStr">
        <is>
          <t>Семена / корма</t>
        </is>
      </c>
      <c r="B24" s="11" t="n">
        <v>0</v>
      </c>
      <c r="C24" s="14" t="inlineStr"/>
    </row>
    <row r="25" ht="21" customHeight="1">
      <c r="A25" s="14" t="inlineStr">
        <is>
          <t>ГСМ и обслуживание техники</t>
        </is>
      </c>
      <c r="B25" s="11" t="n">
        <v>0</v>
      </c>
      <c r="C25" s="14" t="inlineStr"/>
    </row>
    <row r="26" ht="21" customHeight="1">
      <c r="A26" s="14" t="inlineStr">
        <is>
          <t>Оплата труда сезонных работников</t>
        </is>
      </c>
      <c r="B26" s="11" t="n">
        <v>0</v>
      </c>
      <c r="C26" s="14" t="inlineStr"/>
    </row>
    <row r="27" ht="21" customHeight="1">
      <c r="A27" s="14" t="inlineStr">
        <is>
          <t>Вода и ирригация</t>
        </is>
      </c>
      <c r="B27" s="11" t="n">
        <v>0</v>
      </c>
      <c r="C27" s="14" t="inlineStr"/>
    </row>
    <row r="28" ht="21" customHeight="1">
      <c r="A28" s="14" t="inlineStr">
        <is>
          <t>Удобрения и средства защиты растений / ветеринария</t>
        </is>
      </c>
      <c r="B28" s="11" t="n">
        <v>0</v>
      </c>
      <c r="C28" s="14" t="inlineStr"/>
    </row>
    <row r="29" ht="21" customHeight="1">
      <c r="A29" s="14" t="inlineStr">
        <is>
          <t>Хранение и логистика</t>
        </is>
      </c>
      <c r="B29" s="11" t="n">
        <v>0</v>
      </c>
      <c r="C29" s="14" t="inlineStr"/>
    </row>
    <row r="30" ht="21" customHeight="1">
      <c r="A30" s="14" t="inlineStr">
        <is>
          <t>Страхование урожая/поголовья</t>
        </is>
      </c>
      <c r="B30" s="11" t="n">
        <v>0</v>
      </c>
      <c r="C30" s="14" t="inlineStr"/>
    </row>
    <row r="31">
      <c r="A31" s="15" t="inlineStr">
        <is>
          <t>Итого: ежемесячные операционные расходы</t>
        </is>
      </c>
      <c r="B31" s="16">
        <f>SUM(B24:B30)</f>
        <v/>
      </c>
      <c r="C31" s="17" t="n"/>
    </row>
    <row r="32"/>
    <row r="33">
      <c r="A33" s="10" t="inlineStr">
        <is>
          <t>Ежемесячная прибыль</t>
        </is>
      </c>
      <c r="B33" s="11">
        <f>B21-B31</f>
        <v/>
      </c>
    </row>
    <row r="34"/>
    <row r="35">
      <c r="A35" s="10" t="inlineStr">
        <is>
          <t>Срок выхода на окупаемость, мес.</t>
        </is>
      </c>
      <c r="B35" s="14">
        <f>IFERROR(B4/B33,"—")</f>
        <v/>
      </c>
      <c r="C35" s="14">
        <f> Начальные инвестиции / Ежемесячная прибыль</f>
        <v/>
      </c>
    </row>
    <row r="36">
      <c r="A36" s="10" t="inlineStr">
        <is>
          <t>Рентабельность продаж, %</t>
        </is>
      </c>
      <c r="B36" s="18">
        <f>IFERROR(B33/B21*100,"—")</f>
        <v/>
      </c>
      <c r="C36" s="14">
        <f> Ежемесячная прибыль / Выручка × 100%</f>
        <v/>
      </c>
    </row>
    <row r="37"/>
    <row r="38" ht="40" customHeight="1">
      <c r="A38" s="9" t="inlineStr">
        <is>
          <t>Это шаблон для ваших собственных расчётов, а не готовые рыночные данные — цифры нужно заполнить самостоятельно, исходя из реальных цен и условий вашего проекта. Там, где в комментарии указан ориентир или диапазон, — это иллюстрация для понимания масштаба статьи, а не проверенные рыночные данные.</t>
        </is>
      </c>
    </row>
  </sheetData>
  <mergeCells count="2">
    <mergeCell ref="A38:C38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2026-09-10T09:38:30Z</dcterms:created>
  <dcterms:modified xmlns:dcterms="http://purl.org/dc/terms/" xmlns:xsi="http://www.w3.org/2001/XMLSchema-instance" xsi:type="dcterms:W3CDTF">2026-09-10T09:38:30Z</dcterms:modified>
</cp:coreProperties>
</file>