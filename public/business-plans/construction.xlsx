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Титульный лист" sheetId="1" state="visible" r:id="rId1"/>
    <sheet xmlns:r="http://schemas.openxmlformats.org/officeDocument/2006/relationships" name="Резюме проекта" sheetId="2" state="visible" r:id="rId2"/>
    <sheet xmlns:r="http://schemas.openxmlformats.org/officeDocument/2006/relationships" name="Анализ рынка" sheetId="3" state="visible" r:id="rId3"/>
    <sheet xmlns:r="http://schemas.openxmlformats.org/officeDocument/2006/relationships" name="План и риски" sheetId="4" state="visible" r:id="rId4"/>
    <sheet xmlns:r="http://schemas.openxmlformats.org/officeDocument/2006/relationships" name="Финансовый план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0">
    <font>
      <name val="Calibri"/>
      <family val="2"/>
      <color theme="1"/>
      <sz val="11"/>
      <scheme val="minor"/>
    </font>
    <font>
      <b val="1"/>
      <color rgb="0014532D"/>
      <sz val="18"/>
    </font>
    <font>
      <i val="1"/>
      <color rgb="0064748B"/>
      <sz val="12"/>
    </font>
    <font>
      <sz val="12"/>
    </font>
    <font>
      <b val="1"/>
      <color rgb="0014532D"/>
      <sz val="13"/>
    </font>
    <font>
      <i val="1"/>
      <color rgb="001D4ED8"/>
    </font>
    <font>
      <b val="1"/>
    </font>
    <font>
      <b val="1"/>
      <color rgb="00FFFFFF"/>
      <sz val="12"/>
    </font>
    <font>
      <i val="1"/>
      <color rgb="0064748B"/>
    </font>
    <font>
      <b val="1"/>
      <i val="1"/>
    </font>
  </fonts>
  <fills count="6">
    <fill>
      <patternFill/>
    </fill>
    <fill>
      <patternFill patternType="gray125"/>
    </fill>
    <fill>
      <patternFill patternType="solid">
        <fgColor rgb="00EFF6FF"/>
      </patternFill>
    </fill>
    <fill>
      <patternFill patternType="solid">
        <fgColor rgb="0014532D"/>
      </patternFill>
    </fill>
    <fill>
      <patternFill patternType="solid">
        <fgColor rgb="00E2E8F0"/>
      </patternFill>
    </fill>
    <fill>
      <patternFill patternType="solid">
        <fgColor rgb="00F8FAFC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2" borderId="0" applyAlignment="1" pivotButton="0" quotePrefix="0" xfId="0">
      <alignment vertical="top" wrapText="1"/>
    </xf>
    <xf numFmtId="0" fontId="6" fillId="0" borderId="0" pivotButton="0" quotePrefix="0" xfId="0"/>
    <xf numFmtId="0" fontId="7" fillId="3" borderId="1" pivotButton="0" quotePrefix="0" xfId="0"/>
    <xf numFmtId="0" fontId="8" fillId="0" borderId="1" applyAlignment="1" pivotButton="0" quotePrefix="0" xfId="0">
      <alignment vertical="top" wrapText="1"/>
    </xf>
    <xf numFmtId="0" fontId="6" fillId="0" borderId="1" pivotButton="0" quotePrefix="0" xfId="0"/>
    <xf numFmtId="3" fontId="0" fillId="0" borderId="1" pivotButton="0" quotePrefix="0" xfId="0"/>
    <xf numFmtId="0" fontId="6" fillId="4" borderId="1" pivotButton="0" quotePrefix="0" xfId="0"/>
    <xf numFmtId="0" fontId="0" fillId="4" borderId="0" pivotButton="0" quotePrefix="0" xfId="0"/>
    <xf numFmtId="0" fontId="0" fillId="0" borderId="1" pivotButton="0" quotePrefix="0" xfId="0"/>
    <xf numFmtId="0" fontId="9" fillId="5" borderId="1" pivotButton="0" quotePrefix="0" xfId="0"/>
    <xf numFmtId="3" fontId="0" fillId="5" borderId="1" pivotButton="0" quotePrefix="0" xfId="0"/>
    <xf numFmtId="0" fontId="0" fillId="5" borderId="0" pivotButton="0" quotePrefix="0" xfId="0"/>
    <xf numFmtId="164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БИЗНЕС-ПЛАН: СТРОИТЕЛЬСТВО</t>
        </is>
      </c>
    </row>
    <row r="2">
      <c r="A2" s="2" t="inlineStr">
        <is>
          <t>Пример: строительно-ремонтная компания</t>
        </is>
      </c>
    </row>
    <row r="4">
      <c r="A4" s="3" t="inlineStr">
        <is>
          <t>Название проекта: [впишите]</t>
        </is>
      </c>
    </row>
    <row r="5">
      <c r="A5" s="3" t="inlineStr">
        <is>
          <t>Автор / компания: [впишите]</t>
        </is>
      </c>
    </row>
    <row r="6">
      <c r="A6" s="3" t="inlineStr">
        <is>
          <t>Регион реализации: [впишите]</t>
        </is>
      </c>
    </row>
    <row r="7">
      <c r="A7" s="3" t="inlineStr">
        <is>
          <t>Требуемая сумма инвестиций, сум: [впишите]</t>
        </is>
      </c>
    </row>
    <row r="8">
      <c r="A8" s="3" t="inlineStr">
        <is>
          <t>Дата: [впишите]</t>
        </is>
      </c>
    </row>
    <row r="10" ht="90" customHeight="1">
      <c r="A10" s="4" t="inlineStr">
        <is>
          <t>Это готовый образец (шаблон) бизнес-плана MoliyaHub для отрасли «Строительство». Замените текст в квадратных скобках [впишите] и примеры на данные вашего проекта, добавьте или удалите строки в таблицах по необходимости. Абзацы, отмеченные как «ПРИМЕР», — иллюстрация формата ответа, а не факты о реальной компании; замените их своими данными. Суммы в листе «Финансовый план» пересчитываются автоматически по формулам — просто впишите свои цифры в столбец «Сумма, сум».</t>
        </is>
      </c>
    </row>
  </sheetData>
  <mergeCells count="1">
    <mergeCell ref="A10:D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5" t="inlineStr">
        <is>
          <t>Резюме проекта</t>
        </is>
      </c>
    </row>
    <row r="2" ht="74" customHeight="1">
      <c r="A2" s="6" t="inlineStr">
        <is>
          <t>ПРИМЕР (иллюстрация, не данные реальной компании): ООО «UsSaz Qurilish» специализируется на комплексном ремонте квартир и коммерческих помещений в Ташкенте «под ключ» — от дизайн-проекта до сдачи объекта. Требуемые инвестиции — 400 млн сум на инструмент, спецтехнику и оборотный капитал на первые 3 объекта; окупаемость — около 14 месяцев при загрузке 2-3 объекта одновременно.</t>
        </is>
      </c>
    </row>
    <row r="3" ht="44" customHeight="1">
      <c r="A3" s="4" t="inlineStr">
        <is>
          <t>[Впишите] В 5-8 предложениях: суть проекта, какую проблему решает, для кого, требуемая сумма инвестиций и на что она пойдёт, ожидаемый результат (выручка/прибыль/срок окупаемости).</t>
        </is>
      </c>
    </row>
    <row r="5">
      <c r="A5" s="5" t="inlineStr">
        <is>
          <t>Описание компании / проекта</t>
        </is>
      </c>
    </row>
    <row r="6" ht="70" customHeight="1">
      <c r="A6" s="4" t="inlineStr">
        <is>
          <t>[Впишите] Организационно-правовая форма (ИП/ООО/фермерское хозяйство), команда, текущий статус проекта (идея / MVP / действующий бизнес), уникальное торговое предложение.</t>
        </is>
      </c>
    </row>
  </sheetData>
  <mergeCells count="3">
    <mergeCell ref="A3:D3"/>
    <mergeCell ref="A2:D2"/>
    <mergeCell ref="A6:D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5" t="inlineStr">
        <is>
          <t>Анализ рынка: Строительство</t>
        </is>
      </c>
    </row>
    <row r="2" ht="44" customHeight="1">
      <c r="A2" s="4" t="inlineStr">
        <is>
          <t>•  Строительство — один из ключевых драйверов роста экономики Узбекистана на фоне активных жилищных и инфраструктурных программ.</t>
        </is>
      </c>
    </row>
    <row r="3" ht="89" customHeight="1">
      <c r="A3" s="4" t="inlineStr">
        <is>
          <t>•  Указом от 20 ноября 2025 года утверждена национальная программа развития жилищного строительства и ипотеки до 2040 года: ежегодный ввод жилья планируется удвоить до 421 тыс. объектов, ипотечный портфель — вырастить более чем в 10 раз (до $56,7 млрд), а долю современного жилья в жилом фонде — довести до 50% (gazeta.uz). Это создаёт долгосрочный спрос на строительные и ремонтные услуги, но конкретные региональные квоты и условия стоит уточнять по мере запуска программы.</t>
        </is>
      </c>
    </row>
    <row r="4" ht="59" customHeight="1">
      <c r="A4" s="4" t="inlineStr">
        <is>
          <t>•  Параллельно продолжаются программы реновации городской среды и инфраструктурные проекты (дороги, объекты соцкультбыта) — поддерживают спрос на подрядные и субподрядные работы для среднего и малого бизнеса.</t>
        </is>
      </c>
    </row>
    <row r="5" ht="74" customHeight="1">
      <c r="A5" s="4" t="inlineStr">
        <is>
          <t>•  Растёт спрос на энергоэффективные и сейсмостойкие решения — новая жилищная программа прямо предусматривает экологичные материалы и энергоэффективные технологии; соответствие актуальным строительным нормам (KMK) и этим требованиям важно для конкурентоспособности при госзаказах и в ипотечных проектах.</t>
        </is>
      </c>
    </row>
    <row r="6" ht="74" customHeight="1">
      <c r="A6" s="4" t="inlineStr">
        <is>
          <t>•  Для сравнения: в Казахстане и России также действуют масштабные программы льготной ипотеки — конкуренция за импортное оборудование, отделочные материалы и подрядчиков с международным опытом в регионе в целом растёт, что может повышать закупочные цены на отдельные материалы и технику.</t>
        </is>
      </c>
    </row>
    <row r="7" ht="59" customHeight="1">
      <c r="A7" s="4" t="inlineStr">
        <is>
          <t>•  [Впишите] Объём рынка и конкурентов в вашем сегменте (жилое/коммерческое/промышленное/инфраструктурное строительство) и регионе — уточняйте по данным местного хокимията и тендерным площадкам.</t>
        </is>
      </c>
    </row>
    <row r="9">
      <c r="A9" s="5" t="inlineStr">
        <is>
          <t>Конкуренты</t>
        </is>
      </c>
    </row>
    <row r="10" ht="45" customHeight="1">
      <c r="A10" s="4" t="inlineStr">
        <is>
          <t>[Впишите] Список из 3-5 прямых конкурентов, их сильные и слабые стороны, чем вы отличаетесь.</t>
        </is>
      </c>
    </row>
    <row r="11">
      <c r="A11" s="5" t="inlineStr">
        <is>
          <t>Целевая аудитория</t>
        </is>
      </c>
    </row>
    <row r="12" ht="45" customHeight="1">
      <c r="A12" s="4" t="inlineStr">
        <is>
          <t>[Впишите] Портрет основного клиента: кто он, что для него важно при выборе, где его найти.</t>
        </is>
      </c>
    </row>
  </sheetData>
  <mergeCells count="8">
    <mergeCell ref="A5:D5"/>
    <mergeCell ref="A6:D6"/>
    <mergeCell ref="A12:D12"/>
    <mergeCell ref="A4:D4"/>
    <mergeCell ref="A3:D3"/>
    <mergeCell ref="A7:D7"/>
    <mergeCell ref="A2:D2"/>
    <mergeCell ref="A10:D1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5" t="inlineStr">
        <is>
          <t>Маркетинговый план</t>
        </is>
      </c>
    </row>
    <row r="2" ht="74" customHeight="1">
      <c r="A2" s="6" t="inlineStr">
        <is>
          <t>ПРИМЕР (иллюстрация, не данные реальной компании): Цена — по смете с фиксацией на этапе договора, чтобы избежать споров при росте цен на материалы; продвижение — портфолио отремонтированных объектов в соцсетях и на агрегаторах ремонта, сарафанное радио через застройщиков и риелторов, первые 2-3 объекта — по льготной цене за отзывы и портфолио.</t>
        </is>
      </c>
    </row>
    <row r="3" ht="30" customHeight="1">
      <c r="A3" s="4" t="inlineStr">
        <is>
          <t>[Впишите] Ценообразование, каналы продвижения и продаж, план привлечения первых клиентов.</t>
        </is>
      </c>
    </row>
    <row r="4">
      <c r="A4" s="5" t="inlineStr">
        <is>
          <t>Операционный план</t>
        </is>
      </c>
    </row>
    <row r="5" ht="74" customHeight="1">
      <c r="A5" s="6" t="inlineStr">
        <is>
          <t>ПРИМЕР (иллюстрация, не данные реальной компании): Цикл: замер и смета → согласование дизайн-проекта → закупка материалов → черновые и чистовые работы бригадой → сдача объекта заказчику. Ключевые поставщики материалов — 2-3 оптовые базы стройматериалов с отсрочкой платежа. Требуется лицензирование строительной деятельности.</t>
        </is>
      </c>
    </row>
    <row r="6" ht="44" customHeight="1">
      <c r="A6" s="4" t="inlineStr">
        <is>
          <t>[Впишите] Процесс производства/оказания услуги, ключевые поставщики, оборудование, необходимые лицензии и разрешения.</t>
        </is>
      </c>
    </row>
    <row r="7">
      <c r="A7" s="5" t="inlineStr">
        <is>
          <t>Организационный план</t>
        </is>
      </c>
    </row>
    <row r="8" ht="59" customHeight="1">
      <c r="A8" s="6" t="inlineStr">
        <is>
          <t>ПРИМЕР (иллюстрация, не данные реальной компании): Директор-прораб, 2 бригады по 4-5 человек (штукатуры-маляры, электрики, сантехники), сметчик на аутсорсе, менеджер по работе с клиентами. Форма — ООО с упрощённым налоговым режимом на старте.</t>
        </is>
      </c>
    </row>
    <row r="9" ht="30" customHeight="1">
      <c r="A9" s="4" t="inlineStr">
        <is>
          <t>[Впишите] Команда и роли, штатное расписание, организационно-правовая форма.</t>
        </is>
      </c>
    </row>
    <row r="10">
      <c r="A10" s="5" t="inlineStr">
        <is>
          <t>Риски и меры по их снижению (примеры для отрасли)</t>
        </is>
      </c>
    </row>
    <row r="12">
      <c r="A12" s="7" t="inlineStr">
        <is>
          <t>Риск</t>
        </is>
      </c>
      <c r="C12" s="7" t="inlineStr">
        <is>
          <t>Меры снижения</t>
        </is>
      </c>
    </row>
    <row r="13" ht="59" customHeight="1">
      <c r="A13" s="4" t="inlineStr">
        <is>
          <t>Рост цен на стройматериалы в ходе исполнения долгосрочных договоров</t>
        </is>
      </c>
      <c r="C13" s="4" t="inlineStr">
        <is>
          <t>Фиксация цен/предоплата у ключевых поставщиков, пункт о пересмотре сметы при росте цен свыше порога</t>
        </is>
      </c>
    </row>
    <row r="14" ht="44" customHeight="1">
      <c r="A14" s="4" t="inlineStr">
        <is>
          <t>Задержки оплат заказчиками</t>
        </is>
      </c>
      <c r="C14" s="4" t="inlineStr">
        <is>
          <t>Поэтапная оплата по договору, авансирование, штрафные санкции за просрочку в договоре</t>
        </is>
      </c>
    </row>
    <row r="15" ht="59" customHeight="1">
      <c r="A15" s="4" t="inlineStr">
        <is>
          <t>Сезонность спроса (замедление в холодные месяцы)</t>
        </is>
      </c>
      <c r="C15" s="4" t="inlineStr">
        <is>
          <t>Диверсификация видов работ (внутренняя отделка зимой, наружные и кровельные — в тёплый сезон)</t>
        </is>
      </c>
    </row>
    <row r="16" ht="44" customHeight="1">
      <c r="A16" s="4" t="inlineStr">
        <is>
          <t>Дефицит квалифицированных рабочих (каменщики, сварщики, отделочники)</t>
        </is>
      </c>
      <c r="C16" s="4" t="inlineStr">
        <is>
          <t>Долгосрочные отношения с проверенными бригадами, обучение подмастерьев</t>
        </is>
      </c>
    </row>
    <row r="17" ht="44" customHeight="1">
      <c r="A17" s="4" t="inlineStr">
        <is>
          <t>Изменение строительных норм (KMK) и требований по энергоэффективности</t>
        </is>
      </c>
      <c r="C17" s="4" t="inlineStr">
        <is>
          <t>Регулярный мониторинг нормативной базы, повышение квалификации ИТР</t>
        </is>
      </c>
    </row>
    <row r="18" ht="44" customHeight="1">
      <c r="A18" s="4" t="inlineStr">
        <is>
          <t>Срыв сроков субподрядчиками</t>
        </is>
      </c>
      <c r="C18" s="4" t="inlineStr">
        <is>
          <t>Резервные подрядчики на критичные виды работ, штрафные условия в договорах субподряда</t>
        </is>
      </c>
    </row>
    <row r="20" ht="30" customHeight="1">
      <c r="A20" s="4" t="inlineStr">
        <is>
          <t>[Впишите] Дополните таблицу своими рисками, специфичными для вашего проекта и региона.</t>
        </is>
      </c>
    </row>
  </sheetData>
  <mergeCells count="21">
    <mergeCell ref="A5:D5"/>
    <mergeCell ref="A8:D8"/>
    <mergeCell ref="A15:B15"/>
    <mergeCell ref="C15:D15"/>
    <mergeCell ref="A20:D20"/>
    <mergeCell ref="C14:D14"/>
    <mergeCell ref="A9:D9"/>
    <mergeCell ref="A16:B16"/>
    <mergeCell ref="C16:D16"/>
    <mergeCell ref="A18:B18"/>
    <mergeCell ref="A12:B12"/>
    <mergeCell ref="C12:D12"/>
    <mergeCell ref="A6:D6"/>
    <mergeCell ref="A14:B14"/>
    <mergeCell ref="A17:B17"/>
    <mergeCell ref="C17:D17"/>
    <mergeCell ref="A3:D3"/>
    <mergeCell ref="A13:B13"/>
    <mergeCell ref="C13:D13"/>
    <mergeCell ref="A2:D2"/>
    <mergeCell ref="C18:D18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7"/>
  <sheetViews>
    <sheetView workbookViewId="0">
      <selection activeCell="A1" sqref="A1"/>
    </sheetView>
  </sheetViews>
  <sheetFormatPr baseColWidth="8" defaultRowHeight="15"/>
  <cols>
    <col width="45" customWidth="1" min="1" max="1"/>
    <col width="16" customWidth="1" min="2" max="2"/>
    <col width="55" customWidth="1" min="3" max="3"/>
  </cols>
  <sheetData>
    <row r="1">
      <c r="A1" s="8" t="inlineStr">
        <is>
          <t>Статья</t>
        </is>
      </c>
      <c r="B1" s="8" t="inlineStr">
        <is>
          <t>Сумма, сум</t>
        </is>
      </c>
      <c r="C1" s="8" t="inlineStr">
        <is>
          <t>Комментарий</t>
        </is>
      </c>
    </row>
    <row r="2" ht="30" customHeight="1">
      <c r="A2" s="9" t="inlineStr">
        <is>
          <t>Впишите свои суммы в столбец «Сумма, сум» напротив каждой строки — итоги и срок окупаемости ниже пересчитаются автоматически (это формулы, не готовые числа). Строки без сумм — примерные статьи для вашей отрасли, добавляйте свои при необходимости.</t>
        </is>
      </c>
    </row>
    <row r="3"/>
    <row r="4">
      <c r="A4" s="10" t="inlineStr">
        <is>
          <t>Начальные инвестиции (требуемая сумма)</t>
        </is>
      </c>
      <c r="B4" s="11" t="n">
        <v>0</v>
      </c>
    </row>
    <row r="5"/>
    <row r="6">
      <c r="A6" s="12" t="inlineStr">
        <is>
          <t>Стартовые затраты (единоразово)</t>
        </is>
      </c>
      <c r="B6" s="13" t="n"/>
      <c r="C6" s="13" t="n"/>
    </row>
    <row r="7" ht="21" customHeight="1">
      <c r="A7" s="14" t="inlineStr">
        <is>
          <t>Регистрация и лицензирование строительной деятельности</t>
        </is>
      </c>
      <c r="B7" s="11" t="n">
        <v>0</v>
      </c>
      <c r="C7" s="14" t="inlineStr"/>
    </row>
    <row r="8" ht="21" customHeight="1">
      <c r="A8" s="14" t="inlineStr">
        <is>
          <t>Инструменты и спецтехника</t>
        </is>
      </c>
      <c r="B8" s="11" t="n">
        <v>0</v>
      </c>
      <c r="C8" s="14" t="inlineStr">
        <is>
          <t>аренда или покупка</t>
        </is>
      </c>
    </row>
    <row r="9" ht="21" customHeight="1">
      <c r="A9" s="14" t="inlineStr">
        <is>
          <t>Первоначальный запас материалов</t>
        </is>
      </c>
      <c r="B9" s="11" t="n">
        <v>0</v>
      </c>
      <c r="C9" s="14" t="inlineStr"/>
    </row>
    <row r="10" ht="21" customHeight="1">
      <c r="A10" s="14" t="inlineStr">
        <is>
          <t>Офис / склад</t>
        </is>
      </c>
      <c r="B10" s="11" t="n">
        <v>0</v>
      </c>
      <c r="C10" s="14" t="inlineStr"/>
    </row>
    <row r="11" ht="21" customHeight="1">
      <c r="A11" s="14" t="inlineStr">
        <is>
          <t>Страхование ответственности</t>
        </is>
      </c>
      <c r="B11" s="11" t="n">
        <v>0</v>
      </c>
      <c r="C11" s="14" t="inlineStr"/>
    </row>
    <row r="12" ht="21" customHeight="1">
      <c r="A12" s="14" t="inlineStr">
        <is>
          <t>Спецодежда и средства индивидуальной защиты для бригад</t>
        </is>
      </c>
      <c r="B12" s="11" t="n">
        <v>0</v>
      </c>
      <c r="C12" s="14" t="inlineStr"/>
    </row>
    <row r="13">
      <c r="A13" s="15" t="inlineStr">
        <is>
          <t>Итого: стартовые затраты (единоразово)</t>
        </is>
      </c>
      <c r="B13" s="16">
        <f>SUM(B7:B12)</f>
        <v/>
      </c>
      <c r="C13" s="17" t="n"/>
    </row>
    <row r="14"/>
    <row r="15">
      <c r="A15" s="12" t="inlineStr">
        <is>
          <t>Ежемесячная выручка</t>
        </is>
      </c>
      <c r="B15" s="13" t="n"/>
      <c r="C15" s="13" t="n"/>
    </row>
    <row r="16" ht="21" customHeight="1">
      <c r="A16" s="14" t="inlineStr">
        <is>
          <t>Подрядные договоры на объекты</t>
        </is>
      </c>
      <c r="B16" s="11" t="n">
        <v>0</v>
      </c>
      <c r="C16" s="14" t="inlineStr"/>
    </row>
    <row r="17" ht="21" customHeight="1">
      <c r="A17" s="14" t="inlineStr">
        <is>
          <t>Ремонтно-отделочные работы</t>
        </is>
      </c>
      <c r="B17" s="11" t="n">
        <v>0</v>
      </c>
      <c r="C17" s="14" t="inlineStr"/>
    </row>
    <row r="18" ht="21" customHeight="1">
      <c r="A18" s="14" t="inlineStr">
        <is>
          <t>Проектирование и сметы</t>
        </is>
      </c>
      <c r="B18" s="11" t="n">
        <v>0</v>
      </c>
      <c r="C18" s="14" t="inlineStr"/>
    </row>
    <row r="19" ht="21" customHeight="1">
      <c r="A19" s="14" t="inlineStr">
        <is>
          <t>Гарантийное и постгарантийное обслуживание объектов</t>
        </is>
      </c>
      <c r="B19" s="11" t="n">
        <v>0</v>
      </c>
      <c r="C19" s="14" t="inlineStr"/>
    </row>
    <row r="20">
      <c r="A20" s="15" t="inlineStr">
        <is>
          <t>Итого: ежемесячная выручка</t>
        </is>
      </c>
      <c r="B20" s="16">
        <f>SUM(B16:B19)</f>
        <v/>
      </c>
      <c r="C20" s="17" t="n"/>
    </row>
    <row r="21"/>
    <row r="22">
      <c r="A22" s="12" t="inlineStr">
        <is>
          <t>Ежемесячные операционные расходы</t>
        </is>
      </c>
      <c r="B22" s="13" t="n"/>
      <c r="C22" s="13" t="n"/>
    </row>
    <row r="23" ht="21" customHeight="1">
      <c r="A23" s="14" t="inlineStr">
        <is>
          <t>ФОТ бригад</t>
        </is>
      </c>
      <c r="B23" s="11" t="n">
        <v>0</v>
      </c>
      <c r="C23" s="14" t="inlineStr"/>
    </row>
    <row r="24" ht="21" customHeight="1">
      <c r="A24" s="14" t="inlineStr">
        <is>
          <t>Материалы</t>
        </is>
      </c>
      <c r="B24" s="11" t="n">
        <v>0</v>
      </c>
      <c r="C24" s="14" t="inlineStr"/>
    </row>
    <row r="25" ht="21" customHeight="1">
      <c r="A25" s="14" t="inlineStr">
        <is>
          <t>Аренда техники</t>
        </is>
      </c>
      <c r="B25" s="11" t="n">
        <v>0</v>
      </c>
      <c r="C25" s="14" t="inlineStr"/>
    </row>
    <row r="26" ht="21" customHeight="1">
      <c r="A26" s="14" t="inlineStr">
        <is>
          <t>Субподряд</t>
        </is>
      </c>
      <c r="B26" s="11" t="n">
        <v>0</v>
      </c>
      <c r="C26" s="14" t="inlineStr"/>
    </row>
    <row r="27" ht="21" customHeight="1">
      <c r="A27" s="14" t="inlineStr">
        <is>
          <t>Транспорт и логистика</t>
        </is>
      </c>
      <c r="B27" s="11" t="n">
        <v>0</v>
      </c>
      <c r="C27" s="14" t="inlineStr"/>
    </row>
    <row r="28" ht="21" customHeight="1">
      <c r="A28" s="14" t="inlineStr">
        <is>
          <t>Страхование объектов и ответственности</t>
        </is>
      </c>
      <c r="B28" s="11" t="n">
        <v>0</v>
      </c>
      <c r="C28" s="14" t="inlineStr"/>
    </row>
    <row r="29" ht="21" customHeight="1">
      <c r="A29" s="14" t="inlineStr">
        <is>
          <t>Налоги</t>
        </is>
      </c>
      <c r="B29" s="11" t="n">
        <v>0</v>
      </c>
      <c r="C29" s="14" t="inlineStr"/>
    </row>
    <row r="30">
      <c r="A30" s="15" t="inlineStr">
        <is>
          <t>Итого: ежемесячные операционные расходы</t>
        </is>
      </c>
      <c r="B30" s="16">
        <f>SUM(B23:B29)</f>
        <v/>
      </c>
      <c r="C30" s="17" t="n"/>
    </row>
    <row r="31"/>
    <row r="32">
      <c r="A32" s="10" t="inlineStr">
        <is>
          <t>Ежемесячная прибыль</t>
        </is>
      </c>
      <c r="B32" s="11">
        <f>B20-B30</f>
        <v/>
      </c>
    </row>
    <row r="33"/>
    <row r="34">
      <c r="A34" s="10" t="inlineStr">
        <is>
          <t>Срок выхода на окупаемость, мес.</t>
        </is>
      </c>
      <c r="B34" s="14">
        <f>IFERROR(B4/B32,"—")</f>
        <v/>
      </c>
      <c r="C34" s="14">
        <f> Начальные инвестиции / Ежемесячная прибыль</f>
        <v/>
      </c>
    </row>
    <row r="35">
      <c r="A35" s="10" t="inlineStr">
        <is>
          <t>Рентабельность продаж, %</t>
        </is>
      </c>
      <c r="B35" s="18">
        <f>IFERROR(B32/B20*100,"—")</f>
        <v/>
      </c>
      <c r="C35" s="14">
        <f> Ежемесячная прибыль / Выручка × 100%</f>
        <v/>
      </c>
    </row>
    <row r="36"/>
    <row r="37" ht="40" customHeight="1">
      <c r="A37" s="9" t="inlineStr">
        <is>
          <t>Это шаблон для ваших собственных расчётов, а не готовые рыночные данные — цифры нужно заполнить самостоятельно, исходя из реальных цен и условий вашего проекта. Там, где в комментарии указан ориентир или диапазон, — это иллюстрация для понимания масштаба статьи, а не проверенные рыночные данные.</t>
        </is>
      </c>
    </row>
  </sheetData>
  <mergeCells count="2">
    <mergeCell ref="A37:C37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2026-09-10T09:38:30Z</dcterms:created>
  <dcterms:modified xmlns:dcterms="http://purl.org/dc/terms/" xmlns:xsi="http://www.w3.org/2001/XMLSchema-instance" xsi:type="dcterms:W3CDTF">2026-09-10T09:38:30Z</dcterms:modified>
</cp:coreProperties>
</file>