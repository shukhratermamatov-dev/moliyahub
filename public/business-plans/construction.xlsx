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инансовый пла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b val="1"/>
      <color rgb="0014532D"/>
      <sz val="18"/>
    </font>
    <font>
      <i val="1"/>
      <color rgb="0064748B"/>
      <sz val="12"/>
    </font>
    <font>
      <b val="1"/>
      <color rgb="00FFFFFF"/>
      <sz val="12"/>
    </font>
    <font>
      <i val="1"/>
      <color rgb="0064748B"/>
    </font>
    <font>
      <b val="1"/>
    </font>
    <font>
      <b val="1"/>
      <i val="1"/>
    </font>
    <font>
      <i val="1"/>
      <color rgb="001D4ED8"/>
    </font>
  </fonts>
  <fills count="5">
    <fill>
      <patternFill/>
    </fill>
    <fill>
      <patternFill patternType="gray125"/>
    </fill>
    <fill>
      <patternFill patternType="solid">
        <fgColor rgb="0014532D"/>
      </patternFill>
    </fill>
    <fill>
      <patternFill patternType="solid">
        <fgColor rgb="00E2E8F0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pivotButton="0" quotePrefix="0" xfId="0"/>
    <xf numFmtId="0" fontId="2" fillId="0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3" fontId="0" fillId="0" borderId="1" pivotButton="0" quotePrefix="0" xfId="0"/>
    <xf numFmtId="0" fontId="5" fillId="3" borderId="1" pivotButton="0" quotePrefix="0" xfId="0"/>
    <xf numFmtId="0" fontId="0" fillId="3" borderId="0" pivotButton="0" quotePrefix="0" xfId="0"/>
    <xf numFmtId="0" fontId="0" fillId="0" borderId="1" pivotButton="0" quotePrefix="0" xfId="0"/>
    <xf numFmtId="0" fontId="6" fillId="4" borderId="1" pivotButton="0" quotePrefix="0" xfId="0"/>
    <xf numFmtId="3" fontId="0" fillId="4" borderId="1" pivotButton="0" quotePrefix="0" xfId="0"/>
    <xf numFmtId="0" fontId="0" fillId="4" borderId="0" pivotButton="0" quotePrefix="0" xfId="0"/>
    <xf numFmtId="164" fontId="0" fillId="0" borderId="1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55" customWidth="1" min="3" max="3"/>
  </cols>
  <sheetData>
    <row r="1">
      <c r="A1" s="1" t="inlineStr">
        <is>
          <t>ФИНАНСОВЫЙ ПЛАН: СТРОИТЕЛЬСТВО — ПРИМЕР РАСЧЁТА</t>
        </is>
      </c>
    </row>
    <row r="2" ht="65" customHeight="1">
      <c r="A2" s="2" t="inlineStr">
        <is>
          <t>Этот файл дополняет текстовый документ бизнес-плана MoliyaHub для отрасли «Строительство» (резюме, анализ рынка, маркетинговый/операционный/организационный план, риски — в Word-файле с тем же названием). Здесь — расчётная часть с рабочими формулами, уже заполненная цифрами ПРИМЕРА (иллюстративная компания из резюме бизнес-плана, не реальный заёмщик) — чтобы показать порядок величины и логику расчёта. Перед подачей в банк или инвестору замените суммы на данные своего проекта.</t>
        </is>
      </c>
    </row>
    <row r="3"/>
    <row r="4">
      <c r="A4" s="3" t="inlineStr">
        <is>
          <t>Статья</t>
        </is>
      </c>
      <c r="B4" s="3" t="inlineStr">
        <is>
          <t>Сумма, сум</t>
        </is>
      </c>
      <c r="C4" s="3" t="inlineStr">
        <is>
          <t>Комментарий</t>
        </is>
      </c>
    </row>
    <row r="5" ht="45" customHeight="1">
      <c r="A5" s="4" t="inlineStr">
        <is>
          <t>Столбец «Сумма, сум» уже заполнен примером расчёта для иллюстративной компании из этого бизнес-плана — на основе рыночных ориентиров 2025-2026 года (там, где источник известен — со ссылкой в комментарии) или экспертной оценки порядка величины (это тоже отмечено). Итоги, прибыль, срок окупаемости и рентабельность ниже пересчитаются автоматически (это формулы). Замените суммы в столбце B на данные вашего собственного проекта — тогда пересчитается всё.</t>
        </is>
      </c>
    </row>
    <row r="6"/>
    <row r="7">
      <c r="A7" s="5" t="inlineStr">
        <is>
          <t>Начальные инвестиции (требуемая сумма)</t>
        </is>
      </c>
      <c r="B7" s="6">
        <f>B16</f>
        <v/>
      </c>
    </row>
    <row r="8"/>
    <row r="9">
      <c r="A9" s="7" t="inlineStr">
        <is>
          <t>Стартовые затраты (единоразово)</t>
        </is>
      </c>
      <c r="B9" s="8" t="n"/>
      <c r="C9" s="8" t="n"/>
    </row>
    <row r="10" ht="36" customHeight="1">
      <c r="A10" s="9" t="inlineStr">
        <is>
          <t>Регистрация и лицензирование строительной деятельности</t>
        </is>
      </c>
      <c r="B10" s="6" t="n">
        <v>18000000</v>
      </c>
      <c r="C10" s="9" t="inlineStr">
        <is>
          <t>Пример: оценка: регистрация ООО, строительная лицензия (квалификация кадров, техническая экспертиза)</t>
        </is>
      </c>
    </row>
    <row r="11" ht="51" customHeight="1">
      <c r="A11" s="9" t="inlineStr">
        <is>
          <t>Инструменты и спецтехника</t>
        </is>
      </c>
      <c r="B11" s="6" t="n">
        <v>138000000</v>
      </c>
      <c r="C11" s="9" t="inlineStr">
        <is>
          <t>аренда или покупка — Пример: оценка: комплект инструмента для 2 бригад, леса/вышка-тура, бетономешалка, генератор, компрессор, б/у грузовик</t>
        </is>
      </c>
    </row>
    <row r="12" ht="36" customHeight="1">
      <c r="A12" s="9" t="inlineStr">
        <is>
          <t>Первоначальный запас материалов</t>
        </is>
      </c>
      <c r="B12" s="6" t="n">
        <v>150000000</v>
      </c>
      <c r="C12" s="9" t="inlineStr">
        <is>
          <t>Пример: оценка: складской запас отделочных материалов (~1 мес.) для старта первых 2-3 объектов до авансов заказчиков</t>
        </is>
      </c>
    </row>
    <row r="13" ht="51" customHeight="1">
      <c r="A13" s="9" t="inlineStr">
        <is>
          <t>Офис / склад</t>
        </is>
      </c>
      <c r="B13" s="6" t="n">
        <v>70000000</v>
      </c>
      <c r="C13" s="9" t="inlineStr">
        <is>
          <t>Пример: оценка: депозит + ремонт офисно-складского помещения; офисы класса B/B+ в Ташкенте — ~$26,4/м²/мес (CMWP/spot.uz, окт. 2025)</t>
        </is>
      </c>
    </row>
    <row r="14" ht="36" customHeight="1">
      <c r="A14" s="9" t="inlineStr">
        <is>
          <t>Страхование ответственности</t>
        </is>
      </c>
      <c r="B14" s="6" t="n">
        <v>15000000</v>
      </c>
      <c r="C14" s="9" t="inlineStr">
        <is>
          <t>Пример: оценка первой годовой премии страхования гражданской ответственности подрядчика</t>
        </is>
      </c>
    </row>
    <row r="15" ht="36" customHeight="1">
      <c r="A15" s="9" t="inlineStr">
        <is>
          <t>Спецодежда и средства индивидуальной защиты для бригад</t>
        </is>
      </c>
      <c r="B15" s="6" t="n">
        <v>9000000</v>
      </c>
      <c r="C15" s="9" t="inlineStr">
        <is>
          <t>Пример: оценка: комплекты СИЗ на ~10 человек (2 бригады по 4-5 чел.)</t>
        </is>
      </c>
    </row>
    <row r="16">
      <c r="A16" s="10" t="inlineStr">
        <is>
          <t>Итого: стартовые затраты (единоразово)</t>
        </is>
      </c>
      <c r="B16" s="11">
        <f>SUM(B10:B15)</f>
        <v/>
      </c>
      <c r="C16" s="12" t="n"/>
    </row>
    <row r="17"/>
    <row r="18">
      <c r="A18" s="7" t="inlineStr">
        <is>
          <t>Ежемесячная выручка</t>
        </is>
      </c>
      <c r="B18" s="8" t="n"/>
      <c r="C18" s="8" t="n"/>
    </row>
    <row r="19" ht="36" customHeight="1">
      <c r="A19" s="9" t="inlineStr">
        <is>
          <t>Подрядные договоры на объекты</t>
        </is>
      </c>
      <c r="B19" s="6" t="n">
        <v>170000000</v>
      </c>
      <c r="C19" s="9" t="inlineStr">
        <is>
          <t>Пример: 50% от выручки — крупные проекты «под ключ» при загрузке 2-3 объекта одновременно</t>
        </is>
      </c>
    </row>
    <row r="20" ht="36" customHeight="1">
      <c r="A20" s="9" t="inlineStr">
        <is>
          <t>Ремонтно-отделочные работы</t>
        </is>
      </c>
      <c r="B20" s="6" t="n">
        <v>102000000</v>
      </c>
      <c r="C20" s="9" t="inlineStr">
        <is>
          <t>Пример: 30% от выручки — более мелкие частные заказы на отделку</t>
        </is>
      </c>
    </row>
    <row r="21" ht="36" customHeight="1">
      <c r="A21" s="9" t="inlineStr">
        <is>
          <t>Проектирование и сметы</t>
        </is>
      </c>
      <c r="B21" s="6" t="n">
        <v>34000000</v>
      </c>
      <c r="C21" s="9" t="inlineStr">
        <is>
          <t>Пример: 10% от выручки — сопутствующая услуга проектирования/смет</t>
        </is>
      </c>
    </row>
    <row r="22" ht="36" customHeight="1">
      <c r="A22" s="9" t="inlineStr">
        <is>
          <t>Гарантийное и постгарантийное обслуживание объектов</t>
        </is>
      </c>
      <c r="B22" s="6" t="n">
        <v>34000000</v>
      </c>
      <c r="C22" s="9" t="inlineStr">
        <is>
          <t>Пример: 10% от выручки — сервисное обслуживание ранее сданных объектов</t>
        </is>
      </c>
    </row>
    <row r="23">
      <c r="A23" s="10" t="inlineStr">
        <is>
          <t>Итого: ежемесячная выручка</t>
        </is>
      </c>
      <c r="B23" s="11">
        <f>SUM(B19:B22)</f>
        <v/>
      </c>
      <c r="C23" s="12" t="n"/>
    </row>
    <row r="24"/>
    <row r="25">
      <c r="A25" s="7" t="inlineStr">
        <is>
          <t>Ежемесячные операционные расходы</t>
        </is>
      </c>
      <c r="B25" s="8" t="n"/>
      <c r="C25" s="8" t="n"/>
    </row>
    <row r="26" ht="51" customHeight="1">
      <c r="A26" s="9" t="inlineStr">
        <is>
          <t>ФОТ бригад</t>
        </is>
      </c>
      <c r="B26" s="6" t="n">
        <v>84000000</v>
      </c>
      <c r="C26" s="9" t="inlineStr">
        <is>
          <t>Пример: 2 бригады по 4-5 чел. + директор-прораб, сметчик, снабженец, бухгалтер на аутсорсе — оценка зарплат отделочников в Ташкенте</t>
        </is>
      </c>
    </row>
    <row r="27" ht="36" customHeight="1">
      <c r="A27" s="9" t="inlineStr">
        <is>
          <t>Материалы</t>
        </is>
      </c>
      <c r="B27" s="6" t="n">
        <v>153000000</v>
      </c>
      <c r="C27" s="9" t="inlineStr">
        <is>
          <t>Пример: ~45% от выручки — типовая доля материалов в стоимости ремонта «под ключ»</t>
        </is>
      </c>
    </row>
    <row r="28" ht="36" customHeight="1">
      <c r="A28" s="9" t="inlineStr">
        <is>
          <t>Аренда техники</t>
        </is>
      </c>
      <c r="B28" s="6" t="n">
        <v>8000000</v>
      </c>
      <c r="C28" s="9" t="inlineStr">
        <is>
          <t>Пример: оценка аренды спецтехники (подъёмники, генераторы) на объектах</t>
        </is>
      </c>
    </row>
    <row r="29" ht="36" customHeight="1">
      <c r="A29" s="9" t="inlineStr">
        <is>
          <t>Субподряд</t>
        </is>
      </c>
      <c r="B29" s="6" t="n">
        <v>34000000</v>
      </c>
      <c r="C29" s="9" t="inlineStr">
        <is>
          <t>Пример: ~10% от выручки — узкоспециализированные субподрядчики (электрика, кондиционирование)</t>
        </is>
      </c>
    </row>
    <row r="30" ht="36" customHeight="1">
      <c r="A30" s="9" t="inlineStr">
        <is>
          <t>Транспорт и логистика</t>
        </is>
      </c>
      <c r="B30" s="6" t="n">
        <v>6000000</v>
      </c>
      <c r="C30" s="9" t="inlineStr">
        <is>
          <t>Пример: оценка доставки материалов и перемещения бригад между объектами</t>
        </is>
      </c>
    </row>
    <row r="31" ht="21" customHeight="1">
      <c r="A31" s="9" t="inlineStr">
        <is>
          <t>Страхование объектов и ответственности</t>
        </is>
      </c>
      <c r="B31" s="6" t="n">
        <v>3000000</v>
      </c>
      <c r="C31" s="9" t="inlineStr">
        <is>
          <t>Пример: оценка ежемесячной части страховой премии</t>
        </is>
      </c>
    </row>
    <row r="32" ht="36" customHeight="1">
      <c r="A32" s="9" t="inlineStr">
        <is>
          <t>Налоги</t>
        </is>
      </c>
      <c r="B32" s="6" t="n">
        <v>23700000</v>
      </c>
      <c r="C32" s="9" t="inlineStr">
        <is>
          <t>Пример: соц. налог 12% от ФОТ (2026 г.) + оценка налога с оборота/на прибыль ~4% от выручки</t>
        </is>
      </c>
    </row>
    <row r="33">
      <c r="A33" s="10" t="inlineStr">
        <is>
          <t>Итого: ежемесячные операционные расходы</t>
        </is>
      </c>
      <c r="B33" s="11">
        <f>SUM(B26:B32)</f>
        <v/>
      </c>
      <c r="C33" s="12" t="n"/>
    </row>
    <row r="34"/>
    <row r="35">
      <c r="A35" s="5" t="inlineStr">
        <is>
          <t>Ежемесячная прибыль</t>
        </is>
      </c>
      <c r="B35" s="6">
        <f>B23-B33</f>
        <v/>
      </c>
    </row>
    <row r="36"/>
    <row r="37">
      <c r="A37" s="5" t="inlineStr">
        <is>
          <t>Срок выхода на окупаемость, мес.</t>
        </is>
      </c>
      <c r="B37" s="9">
        <f>IFERROR(B7/B35,"—")</f>
        <v/>
      </c>
      <c r="C37" s="9" t="inlineStr">
        <is>
          <t>Формула: Начальные инвестиции ÷ Ежемесячная прибыль</t>
        </is>
      </c>
    </row>
    <row r="38">
      <c r="A38" s="5" t="inlineStr">
        <is>
          <t>Рентабельность продаж, %</t>
        </is>
      </c>
      <c r="B38" s="13">
        <f>IFERROR(B35/B23*100,"—")</f>
        <v/>
      </c>
      <c r="C38" s="9" t="inlineStr">
        <is>
          <t>Формула: Ежемесячная прибыль ÷ Выручка × 100%</t>
        </is>
      </c>
    </row>
    <row r="39"/>
    <row r="40" ht="50" customHeight="1">
      <c r="A40" s="14" t="inlineStr">
        <is>
          <t>Как считался этот пример: Сумма стартовых затрат — ровно 400 млн сум, полностью соответствует резюме. Прибыль ≈28,3 млн сум/мес при выручке 340 млн/мес даёт окупаемость ≈14,1 мес. — соответствует резюме.</t>
        </is>
      </c>
    </row>
    <row r="41"/>
    <row r="42" ht="55" customHeight="1">
      <c r="A42" s="4" t="inlineStr">
        <is>
          <t>Это пример расчёта для иллюстративной компании, а не готовая заявка на кредит и не проверенные рыночные данные о реальном бизнесе. Суммы в столбце B — рабочие формулы: замените их на цифры вашего проекта, и итоги, прибыль, срок окупаемости и рентабельность пересчитаются автоматически. Там, где в комментарии указан источник — это ориентир на 2025-2026 год, проверяйте актуальность перед подачей документов в банк; где указана «экспертная оценка» — это иллюстрация порядка величины, а не факт.</t>
        </is>
      </c>
    </row>
  </sheetData>
  <mergeCells count="4">
    <mergeCell ref="A5:C5"/>
    <mergeCell ref="A42:C42"/>
    <mergeCell ref="A2:C2"/>
    <mergeCell ref="A40:C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2026-09-12T07:41:32Z</dcterms:created>
  <dcterms:modified xmlns:dcterms="http://purl.org/dc/terms/" xmlns:xsi="http://www.w3.org/2001/XMLSchema-instance" xsi:type="dcterms:W3CDTF">2026-09-12T07:41:32Z</dcterms:modified>
</cp:coreProperties>
</file>